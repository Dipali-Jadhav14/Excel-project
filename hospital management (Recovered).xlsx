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MARK6\Desktop\"/>
    </mc:Choice>
  </mc:AlternateContent>
  <xr:revisionPtr revIDLastSave="0" documentId="13_ncr:10000001_{4FAEB693-39DF-4495-A067-95AEA70EDCF0}" xr6:coauthVersionLast="47" xr6:coauthVersionMax="47" xr10:uidLastSave="{00000000-0000-0000-0000-000000000000}"/>
  <bookViews>
    <workbookView xWindow="-120" yWindow="-120" windowWidth="20730" windowHeight="11160" activeTab="2" xr2:uid="{88489D33-1961-42AA-9CF8-88E8D40A7745}"/>
  </bookViews>
  <sheets>
    <sheet name="Pivote Report" sheetId="1" r:id="rId1"/>
    <sheet name="Sheet2" sheetId="7" r:id="rId2"/>
    <sheet name="Dashboard" sheetId="2" r:id="rId3"/>
    <sheet name="daily ER room petients" sheetId="3" r:id="rId4"/>
    <sheet name="average wait time daily" sheetId="5" r:id="rId5"/>
    <sheet name="satisfication score daily trend" sheetId="4" r:id="rId6"/>
    <sheet name="Sheet1" sheetId="6" r:id="rId7"/>
  </sheets>
  <definedNames>
    <definedName name="Slicer_Column1__Month">#N/A</definedName>
    <definedName name="Slicer_Column1__Year">#N/A</definedName>
  </definedNames>
  <calcPr calcId="191029"/>
  <pivotCaches>
    <pivotCache cacheId="1024" r:id="rId8"/>
    <pivotCache cacheId="1027" r:id="rId9"/>
    <pivotCache cacheId="1030" r:id="rId10"/>
    <pivotCache cacheId="1033" r:id="rId11"/>
    <pivotCache cacheId="1036" r:id="rId12"/>
    <pivotCache cacheId="1039" r:id="rId13"/>
    <pivotCache cacheId="1042" r:id="rId14"/>
    <pivotCache cacheId="1045" r:id="rId15"/>
    <pivotCache cacheId="1048" r:id="rId16"/>
    <pivotCache cacheId="1051" r:id="rId17"/>
    <pivotCache cacheId="1054" r:id="rId18"/>
    <pivotCache cacheId="1057" r:id="rId19"/>
  </pivotCaches>
  <fileRecoveryPr repairLoad="1"/>
  <extLst>
    <ext xmlns:x14="http://schemas.microsoft.com/office/spreadsheetml/2009/9/main" uri="{876F7934-8845-4945-9796-88D515C7AA90}">
      <x14:pivotCaches>
        <pivotCache cacheId="591"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3d523e1-9c28-408f-8f45-f517654a8004" name="Hospital Emergency Room Data" connection="Query - Hospital Emergency Room Data"/>
          <x15:modelTable id="Calender_01b7f808-bfe2-4b01-aec8-d10049dd8651" name="Calender" connection="Query - Calender"/>
        </x15:modelTables>
        <x15:modelRelationships>
          <x15:modelRelationship fromTable="Hospital Emergency Room Data" fromColumn="Patient Admission Date" toTable="Calender" toColumn="Column1"/>
        </x15:modelRelationships>
        <x15:extLst>
          <ext xmlns:x16="http://schemas.microsoft.com/office/spreadsheetml/2014/11/main" uri="{9835A34E-60A6-4A7C-AAB8-D5F71C897F49}">
            <x16:modelTimeGroupings>
              <x16:modelTimeGrouping tableName="Calender"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Lst>
</workbook>
</file>

<file path=xl/calcChain.xml><?xml version="1.0" encoding="utf-8"?>
<calcChain xmlns="http://schemas.openxmlformats.org/spreadsheetml/2006/main">
  <c r="B54" i="1" l="1"/>
  <c r="C54" i="1"/>
  <c r="B53" i="1"/>
  <c r="C53" i="1"/>
  <c r="A54"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7178AF-D2B2-4CAE-AAAC-DF6B793BA773}" name="Query - Calender" description="Connection to the 'Calender' query in the workbook." type="100" refreshedVersion="8" minRefreshableVersion="5">
    <extLst>
      <ext xmlns:x15="http://schemas.microsoft.com/office/spreadsheetml/2010/11/main" uri="{DE250136-89BD-433C-8126-D09CA5730AF9}">
        <x15:connection id="d664578f-4d79-4d28-9307-f71c670b9674"/>
      </ext>
    </extLst>
  </connection>
  <connection id="2" xr16:uid="{CAF6B000-F492-4A3A-A15D-4272A196C36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a80ae55-0ddd-46c8-b8c5-7dde22b3166d"/>
      </ext>
    </extLst>
  </connection>
  <connection id="3" xr16:uid="{3CD41083-B49A-4BCE-B8CA-9B661C0504F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<sst xmlns="http://schemas.openxmlformats.org/spreadsheetml/2006/main" count="155" uniqueCount="74">
  <si>
    <t>Distinct Count of Patient Id</t>
  </si>
  <si>
    <t>No. of patient</t>
  </si>
  <si>
    <t>Average of Patient Waittime</t>
  </si>
  <si>
    <t>Average of Patient Satisfaction Score</t>
  </si>
  <si>
    <t>Grand Total</t>
  </si>
  <si>
    <t>Row Labels</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</si>
  <si>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</si>
  <si>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</si>
  <si>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</si>
  <si>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</si>
  <si>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</si>
  <si>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</si>
  <si>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</si>
  <si>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</si>
  <si>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</si>
  <si>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</si>
  <si>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</si>
  <si>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</si>
  <si>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</si>
  <si>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</si>
  <si>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</si>
  <si>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</si>
  <si>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</si>
  <si>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</si>
  <si>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</si>
  <si>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</si>
  <si>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</si>
  <si>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</si>
  <si>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</si>
  <si>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</si>
  <si>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</si>
  <si>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</si>
  <si>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</si>
  <si>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</si>
  <si>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</si>
  <si>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</si>
  <si>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</si>
  <si>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AVERAGE WAIT TIME</t>
  </si>
  <si>
    <t>satisfaction score daily trend</t>
  </si>
  <si>
    <t>Count of Patient Admission Flag</t>
  </si>
  <si>
    <t>Addmited</t>
  </si>
  <si>
    <t>Not Admited</t>
  </si>
  <si>
    <t>Count of Patient Admission Flag2</t>
  </si>
  <si>
    <t>Addimition Status</t>
  </si>
  <si>
    <t>No of Petints</t>
  </si>
  <si>
    <t>%Status</t>
  </si>
  <si>
    <t>0-9</t>
  </si>
  <si>
    <t>10-19</t>
  </si>
  <si>
    <t>20-29</t>
  </si>
  <si>
    <t>30-39</t>
  </si>
  <si>
    <t>40,49</t>
  </si>
  <si>
    <t>50-59</t>
  </si>
  <si>
    <t>60,69</t>
  </si>
  <si>
    <t>70-79</t>
  </si>
  <si>
    <t>Count of Age Group</t>
  </si>
  <si>
    <t>age group wise analysis</t>
  </si>
  <si>
    <t>Delay</t>
  </si>
  <si>
    <t>Ontime</t>
  </si>
  <si>
    <t>Count of Patient Attend Status</t>
  </si>
  <si>
    <t>Count of Patient Gender</t>
  </si>
  <si>
    <t>Female</t>
  </si>
  <si>
    <t>Male</t>
  </si>
  <si>
    <t>no of petient by gender</t>
  </si>
  <si>
    <t>Count of Department Referral</t>
  </si>
  <si>
    <t>Cardiology</t>
  </si>
  <si>
    <t>Gastroenterology</t>
  </si>
  <si>
    <t>General Practice</t>
  </si>
  <si>
    <t>Neurology</t>
  </si>
  <si>
    <t>None</t>
  </si>
  <si>
    <t>Orthopedics</t>
  </si>
  <si>
    <t>Physiotherapy</t>
  </si>
  <si>
    <t>Renal</t>
  </si>
  <si>
    <t>Count of Column1</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</si>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</sst>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3" tint="-0.249977111117893"/>
        <bgColor indexed="64"/>
      </patternFill>
    </fill>
    <fill>
      <patternFill patternType="solid">
        <fgColor theme="4"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2" fontId="0" fillId="2" borderId="0" xfId="0" applyNumberFormat="1" applyFill="1"/>
    <xf numFmtId="0" fontId="0" fillId="3" borderId="0" xfId="0" applyFill="1"/>
    <xf numFmtId="0" fontId="0" fillId="0" borderId="0" xfId="0" pivotButton="1"/>
    <xf numFmtId="0" fontId="0" fillId="0" borderId="0" xfId="0" applyAlignment="1">
      <alignment horizontal="left"/>
    </xf>
    <xf numFmtId="2" fontId="0" fillId="0" borderId="0" xfId="0" applyNumberFormat="1"/>
    <xf numFmtId="0" fontId="0" fillId="2" borderId="0" xfId="0" applyNumberFormat="1" applyFill="1"/>
    <xf numFmtId="10" fontId="0" fillId="2" borderId="0" xfId="0" applyNumberFormat="1" applyFill="1"/>
    <xf numFmtId="0" fontId="0" fillId="4" borderId="1" xfId="0" applyFill="1" applyBorder="1"/>
    <xf numFmtId="0" fontId="0" fillId="4" borderId="2" xfId="0" applyFill="1" applyBorder="1"/>
    <xf numFmtId="0" fontId="0" fillId="4" borderId="3" xfId="0" applyFill="1" applyBorder="1"/>
    <xf numFmtId="0" fontId="0" fillId="0" borderId="4" xfId="0" applyBorder="1"/>
    <xf numFmtId="0" fontId="0" fillId="0" borderId="0" xfId="0" applyBorder="1"/>
    <xf numFmtId="9" fontId="0" fillId="0" borderId="0" xfId="1" applyFont="1" applyBorder="1"/>
    <xf numFmtId="0" fontId="0" fillId="0" borderId="5" xfId="0" applyBorder="1"/>
    <xf numFmtId="0" fontId="0" fillId="0" borderId="6" xfId="0" applyBorder="1"/>
    <xf numFmtId="0" fontId="0" fillId="0" borderId="7" xfId="0" applyBorder="1"/>
    <xf numFmtId="9" fontId="0" fillId="0" borderId="7" xfId="1" applyFont="1" applyBorder="1"/>
    <xf numFmtId="0" fontId="0" fillId="0" borderId="8" xfId="0" applyBorder="1"/>
    <xf numFmtId="1" fontId="0" fillId="2" borderId="0" xfId="0" applyNumberFormat="1" applyFill="1"/>
  </cellXfs>
  <cellStyles count="2">
    <cellStyle name="Normal" xfId="0" builtinId="0"/>
    <cellStyle name="Percent" xfId="1" builtinId="5"/>
  </cellStyles>
  <dxfs count="419">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14" formatCode="0.0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fill>
        <patternFill patternType="solid">
          <bgColor theme="0" tint="-0.14999847407452621"/>
        </patternFill>
      </fill>
    </dxf>
    <dxf>
      <numFmt numFmtId="1" formatCode="0"/>
    </dxf>
    <dxf>
      <numFmt numFmtId="1" formatCode="0"/>
    </dxf>
    <dxf>
      <fill>
        <patternFill patternType="solid">
          <bgColor theme="0" tint="-0.14999847407452621"/>
        </patternFill>
      </fill>
    </dxf>
    <dxf>
      <numFmt numFmtId="14" formatCode="0.00%"/>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numFmt numFmtId="2" formatCode="0.00"/>
    </dxf>
    <dxf>
      <numFmt numFmtId="2" formatCode="0.00"/>
    </dxf>
    <dxf>
      <fill>
        <patternFill patternType="solid">
          <bgColor theme="0" tint="-0.14999847407452621"/>
        </patternFill>
      </fill>
    </dxf>
    <dxf>
      <fill>
        <patternFill patternType="solid">
          <bgColor theme="0" tint="-0.14999847407452621"/>
        </patternFill>
      </fill>
    </dxf>
    <dxf>
      <numFmt numFmtId="2" formatCode="0.00"/>
    </dxf>
    <dxf>
      <fill>
        <patternFill patternType="solid">
          <bgColor theme="0" tint="-0.14999847407452621"/>
        </patternFill>
      </fill>
    </dxf>
    <dxf>
      <numFmt numFmtId="2" formatCode="0.00"/>
    </dxf>
    <dxf>
      <fill>
        <patternFill patternType="solid">
          <bgColor theme="0" tint="-0.14999847407452621"/>
        </patternFill>
      </fill>
    </dxf>
    <dxf>
      <font>
        <b/>
        <color theme="1"/>
      </font>
      <border>
        <bottom style="thin">
          <color theme="4"/>
        </bottom>
        <vertical/>
        <horizontal/>
      </border>
    </dxf>
    <dxf>
      <font>
        <b/>
        <i val="0"/>
        <sz val="8"/>
        <color theme="1"/>
      </font>
      <fill>
        <patternFill>
          <bgColor theme="7" tint="0.59996337778862885"/>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 style" pivot="0" table="0" count="10" xr9:uid="{9705A628-EF75-4E87-818D-39299475ADB0}">
      <tableStyleElement type="wholeTable" dxfId="418"/>
      <tableStyleElement type="headerRow" dxfId="4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B93140B-E76E-4C8E-BE35-B973C36A22E0}"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25960059284666"/>
          <c:y val="0"/>
          <c:w val="0.45033898915603693"/>
          <c:h val="1"/>
        </c:manualLayout>
      </c:layout>
      <c:barChart>
        <c:barDir val="bar"/>
        <c:grouping val="clustered"/>
        <c:varyColors val="0"/>
        <c:ser>
          <c:idx val="0"/>
          <c:order val="0"/>
          <c:tx>
            <c:strRef>
              <c:f>'Pivote Report'!$C$45:$C$46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'Pivote Report'!$C$45:$C$46</c:f>
              <c:strCache>
                <c:ptCount val="2"/>
                <c:pt idx="0">
                  <c:v>Addmited</c:v>
                </c:pt>
                <c:pt idx="1">
                  <c:v>Not Admited</c:v>
                </c:pt>
              </c:strCache>
            </c:strRef>
          </c:cat>
          <c:val>
            <c:numRef>
              <c:f>'Pivote Report'!$C$45:$C$46</c:f>
              <c:numCache>
                <c:formatCode>0.00</c:formatCode>
                <c:ptCount val="2"/>
                <c:pt idx="0">
                  <c:v>253</c:v>
                </c:pt>
                <c:pt idx="1">
                  <c:v>253</c:v>
                </c:pt>
              </c:numCache>
            </c:numRef>
          </c:val>
          <c:extLst>
            <c:ext xmlns:c16="http://schemas.microsoft.com/office/drawing/2014/chart" uri="{C3380CC4-5D6E-409C-BE32-E72D297353CC}">
              <c16:uniqueId val="{00000008-ACE0-4957-8474-7A74F4223A6C}"/>
            </c:ext>
          </c:extLst>
        </c:ser>
        <c:ser>
          <c:idx val="1"/>
          <c:order val="1"/>
          <c:tx>
            <c:strRef>
              <c:f>'Pivote Report'!$C$45:$C$46</c:f>
              <c:strCache>
                <c:ptCount val="1"/>
                <c:pt idx="0">
                  <c:v>Count of Patient Admission Flag2</c:v>
                </c:pt>
              </c:strCache>
            </c:strRef>
          </c:tx>
          <c:spPr>
            <a:solidFill>
              <a:schemeClr val="accent2"/>
            </a:solidFill>
            <a:ln>
              <a:noFill/>
            </a:ln>
            <a:effectLst/>
          </c:spPr>
          <c:invertIfNegative val="0"/>
          <c:cat>
            <c:strRef>
              <c:f>'Pivote Report'!$C$45:$C$46</c:f>
              <c:strCache>
                <c:ptCount val="2"/>
                <c:pt idx="0">
                  <c:v>Addmited</c:v>
                </c:pt>
                <c:pt idx="1">
                  <c:v>Not Admited</c:v>
                </c:pt>
              </c:strCache>
            </c:strRef>
          </c:cat>
          <c:val>
            <c:numRef>
              <c:f>'Pivote Report'!$C$45:$C$46</c:f>
              <c:numCache>
                <c:formatCode>0.00%</c:formatCode>
                <c:ptCount val="2"/>
                <c:pt idx="0">
                  <c:v>0.5</c:v>
                </c:pt>
                <c:pt idx="1">
                  <c:v>0.5</c:v>
                </c:pt>
              </c:numCache>
            </c:numRef>
          </c:val>
          <c:extLst>
            <c:ext xmlns:c16="http://schemas.microsoft.com/office/drawing/2014/chart" uri="{C3380CC4-5D6E-409C-BE32-E72D297353CC}">
              <c16:uniqueId val="{00000009-ACE0-4957-8474-7A74F4223A6C}"/>
            </c:ext>
          </c:extLst>
        </c:ser>
        <c:dLbls>
          <c:showLegendKey val="0"/>
          <c:showVal val="0"/>
          <c:showCatName val="0"/>
          <c:showSerName val="0"/>
          <c:showPercent val="0"/>
          <c:showBubbleSize val="0"/>
        </c:dLbls>
        <c:gapWidth val="72"/>
        <c:axId val="579785976"/>
        <c:axId val="579787776"/>
      </c:barChart>
      <c:catAx>
        <c:axId val="579785976"/>
        <c:scaling>
          <c:orientation val="minMax"/>
        </c:scaling>
        <c:delete val="1"/>
        <c:axPos val="l"/>
        <c:numFmt formatCode="General" sourceLinked="1"/>
        <c:majorTickMark val="none"/>
        <c:minorTickMark val="none"/>
        <c:tickLblPos val="nextTo"/>
        <c:crossAx val="579787776"/>
        <c:crosses val="autoZero"/>
        <c:auto val="1"/>
        <c:lblAlgn val="ctr"/>
        <c:lblOffset val="100"/>
        <c:noMultiLvlLbl val="0"/>
      </c:catAx>
      <c:valAx>
        <c:axId val="57978777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79785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92896174863388E-2"/>
          <c:y val="0.22510822510822512"/>
          <c:w val="0.94535519125683065"/>
          <c:h val="0.72294372294372289"/>
        </c:manualLayout>
      </c:layout>
      <c:areaChart>
        <c:grouping val="standard"/>
        <c:varyColors val="0"/>
        <c:ser>
          <c:idx val="0"/>
          <c:order val="0"/>
          <c:tx>
            <c:strRef>
              <c:f>'Pivote Report'!$E$4</c:f>
              <c:strCache>
                <c:ptCount val="1"/>
                <c:pt idx="0">
                  <c:v>Total</c:v>
                </c:pt>
              </c:strCache>
            </c:strRef>
          </c:tx>
          <c:spPr>
            <a:solidFill>
              <a:schemeClr val="accent1"/>
            </a:solidFill>
            <a:ln w="25400">
              <a:noFill/>
            </a:ln>
            <a:effectLst/>
          </c:spPr>
          <c:cat>
            <c:strRef>
              <c:f>'Pivote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7A23-4E89-A951-B41E2DFBDC7E}"/>
            </c:ext>
          </c:extLst>
        </c:ser>
        <c:dLbls>
          <c:showLegendKey val="0"/>
          <c:showVal val="0"/>
          <c:showCatName val="0"/>
          <c:showSerName val="0"/>
          <c:showPercent val="0"/>
          <c:showBubbleSize val="0"/>
        </c:dLbls>
        <c:axId val="457951496"/>
        <c:axId val="457946456"/>
      </c:areaChart>
      <c:catAx>
        <c:axId val="457951496"/>
        <c:scaling>
          <c:orientation val="minMax"/>
        </c:scaling>
        <c:delete val="1"/>
        <c:axPos val="b"/>
        <c:numFmt formatCode="General" sourceLinked="1"/>
        <c:majorTickMark val="out"/>
        <c:minorTickMark val="none"/>
        <c:tickLblPos val="nextTo"/>
        <c:crossAx val="457946456"/>
        <c:crosses val="autoZero"/>
        <c:auto val="1"/>
        <c:lblAlgn val="ctr"/>
        <c:lblOffset val="100"/>
        <c:noMultiLvlLbl val="0"/>
      </c:catAx>
      <c:valAx>
        <c:axId val="457946456"/>
        <c:scaling>
          <c:orientation val="minMax"/>
        </c:scaling>
        <c:delete val="1"/>
        <c:axPos val="l"/>
        <c:numFmt formatCode="General" sourceLinked="1"/>
        <c:majorTickMark val="none"/>
        <c:minorTickMark val="none"/>
        <c:tickLblPos val="nextTo"/>
        <c:crossAx val="457951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566873976377263E-2"/>
          <c:y val="0.24093588301462318"/>
          <c:w val="0.92260334212840811"/>
          <c:h val="0.74041244844394438"/>
        </c:manualLayout>
      </c:layout>
      <c:areaChart>
        <c:grouping val="standard"/>
        <c:varyColors val="0"/>
        <c:ser>
          <c:idx val="0"/>
          <c:order val="0"/>
          <c:tx>
            <c:strRef>
              <c:f>'Pivote Report'!$H$4</c:f>
              <c:strCache>
                <c:ptCount val="1"/>
                <c:pt idx="0">
                  <c:v>Total</c:v>
                </c:pt>
              </c:strCache>
            </c:strRef>
          </c:tx>
          <c:spPr>
            <a:solidFill>
              <a:schemeClr val="accent1"/>
            </a:solidFill>
            <a:ln w="25400">
              <a:noFill/>
            </a:ln>
            <a:effectLst/>
          </c:spPr>
          <c:cat>
            <c:strRef>
              <c:f>'Pivote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3-4152-47CD-9F18-4A339A1B8D7F}"/>
            </c:ext>
          </c:extLst>
        </c:ser>
        <c:dLbls>
          <c:showLegendKey val="0"/>
          <c:showVal val="0"/>
          <c:showCatName val="0"/>
          <c:showSerName val="0"/>
          <c:showPercent val="0"/>
          <c:showBubbleSize val="0"/>
        </c:dLbls>
        <c:axId val="755465616"/>
        <c:axId val="755472456"/>
      </c:areaChart>
      <c:catAx>
        <c:axId val="755465616"/>
        <c:scaling>
          <c:orientation val="minMax"/>
        </c:scaling>
        <c:delete val="1"/>
        <c:axPos val="b"/>
        <c:numFmt formatCode="General" sourceLinked="1"/>
        <c:majorTickMark val="out"/>
        <c:minorTickMark val="none"/>
        <c:tickLblPos val="nextTo"/>
        <c:crossAx val="755472456"/>
        <c:crosses val="autoZero"/>
        <c:auto val="1"/>
        <c:lblAlgn val="ctr"/>
        <c:lblOffset val="100"/>
        <c:noMultiLvlLbl val="0"/>
      </c:catAx>
      <c:valAx>
        <c:axId val="755472456"/>
        <c:scaling>
          <c:orientation val="minMax"/>
        </c:scaling>
        <c:delete val="1"/>
        <c:axPos val="l"/>
        <c:numFmt formatCode="0.00" sourceLinked="1"/>
        <c:majorTickMark val="none"/>
        <c:minorTickMark val="none"/>
        <c:tickLblPos val="nextTo"/>
        <c:crossAx val="755465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88684543802651E-2"/>
          <c:y val="0"/>
          <c:w val="0.88496732026143787"/>
          <c:h val="1"/>
        </c:manualLayout>
      </c:layout>
      <c:areaChart>
        <c:grouping val="standard"/>
        <c:varyColors val="0"/>
        <c:ser>
          <c:idx val="0"/>
          <c:order val="0"/>
          <c:tx>
            <c:strRef>
              <c:f>'Pivote Report'!$K$4</c:f>
              <c:strCache>
                <c:ptCount val="1"/>
                <c:pt idx="0">
                  <c:v>Total</c:v>
                </c:pt>
              </c:strCache>
            </c:strRef>
          </c:tx>
          <c:spPr>
            <a:solidFill>
              <a:schemeClr val="accent1"/>
            </a:solidFill>
            <a:ln w="25400">
              <a:noFill/>
            </a:ln>
            <a:effectLst/>
          </c:spPr>
          <c:cat>
            <c:strRef>
              <c:f>'Pivote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5D55-40F2-B287-62EAFCF56CEC}"/>
            </c:ext>
          </c:extLst>
        </c:ser>
        <c:dLbls>
          <c:showLegendKey val="0"/>
          <c:showVal val="0"/>
          <c:showCatName val="0"/>
          <c:showSerName val="0"/>
          <c:showPercent val="0"/>
          <c:showBubbleSize val="0"/>
        </c:dLbls>
        <c:axId val="457305000"/>
        <c:axId val="457300680"/>
      </c:areaChart>
      <c:catAx>
        <c:axId val="457305000"/>
        <c:scaling>
          <c:orientation val="minMax"/>
        </c:scaling>
        <c:delete val="1"/>
        <c:axPos val="b"/>
        <c:numFmt formatCode="General" sourceLinked="1"/>
        <c:majorTickMark val="out"/>
        <c:minorTickMark val="none"/>
        <c:tickLblPos val="nextTo"/>
        <c:crossAx val="457300680"/>
        <c:crosses val="autoZero"/>
        <c:auto val="1"/>
        <c:lblAlgn val="ctr"/>
        <c:lblOffset val="100"/>
        <c:noMultiLvlLbl val="0"/>
      </c:catAx>
      <c:valAx>
        <c:axId val="457300680"/>
        <c:scaling>
          <c:orientation val="minMax"/>
        </c:scaling>
        <c:delete val="1"/>
        <c:axPos val="l"/>
        <c:numFmt formatCode="0.00" sourceLinked="1"/>
        <c:majorTickMark val="none"/>
        <c:minorTickMark val="none"/>
        <c:tickLblPos val="nextTo"/>
        <c:crossAx val="457305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92524694077168E-2"/>
          <c:y val="1.0359971138171555E-2"/>
          <c:w val="0.92028985507246375"/>
          <c:h val="0.80513798826210303"/>
        </c:manualLayout>
      </c:layout>
      <c:barChart>
        <c:barDir val="col"/>
        <c:grouping val="clustered"/>
        <c:varyColors val="0"/>
        <c:ser>
          <c:idx val="0"/>
          <c:order val="0"/>
          <c:tx>
            <c:strRef>
              <c:f>'Pivote Report'!$B$57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Report'!$A$58:$A$66</c:f>
              <c:strCache>
                <c:ptCount val="8"/>
                <c:pt idx="0">
                  <c:v>0-9</c:v>
                </c:pt>
                <c:pt idx="1">
                  <c:v>10-19</c:v>
                </c:pt>
                <c:pt idx="2">
                  <c:v>20-29</c:v>
                </c:pt>
                <c:pt idx="3">
                  <c:v>30-39</c:v>
                </c:pt>
                <c:pt idx="4">
                  <c:v>40,49</c:v>
                </c:pt>
                <c:pt idx="5">
                  <c:v>50-59</c:v>
                </c:pt>
                <c:pt idx="6">
                  <c:v>60,69</c:v>
                </c:pt>
                <c:pt idx="7">
                  <c:v>70-79</c:v>
                </c:pt>
              </c:strCache>
            </c:strRef>
          </c:cat>
          <c:val>
            <c:numRef>
              <c:f>'Pivote Report'!$B$58:$B$66</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5404-4915-8929-A5FE849F20B9}"/>
            </c:ext>
          </c:extLst>
        </c:ser>
        <c:dLbls>
          <c:showLegendKey val="0"/>
          <c:showVal val="0"/>
          <c:showCatName val="0"/>
          <c:showSerName val="0"/>
          <c:showPercent val="0"/>
          <c:showBubbleSize val="0"/>
        </c:dLbls>
        <c:gapWidth val="139"/>
        <c:overlap val="-27"/>
        <c:axId val="815635128"/>
        <c:axId val="815640168"/>
      </c:barChart>
      <c:catAx>
        <c:axId val="815635128"/>
        <c:scaling>
          <c:orientation val="minMax"/>
        </c:scaling>
        <c:delete val="0"/>
        <c:axPos val="b"/>
        <c:numFmt formatCode="General" sourceLinked="1"/>
        <c:majorTickMark val="none"/>
        <c:minorTickMark val="none"/>
        <c:tickLblPos val="nextTo"/>
        <c:spPr>
          <a:solidFill>
            <a:srgbClr val="FFFF0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70C0"/>
                </a:solidFill>
                <a:latin typeface="+mn-lt"/>
                <a:ea typeface="+mn-ea"/>
                <a:cs typeface="+mn-cs"/>
              </a:defRPr>
            </a:pPr>
            <a:endParaRPr lang="en-US"/>
          </a:p>
        </c:txPr>
        <c:crossAx val="815640168"/>
        <c:crosses val="autoZero"/>
        <c:auto val="1"/>
        <c:lblAlgn val="ctr"/>
        <c:lblOffset val="100"/>
        <c:noMultiLvlLbl val="0"/>
      </c:catAx>
      <c:valAx>
        <c:axId val="81564016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15635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Report!PivotTable9</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0172604728350599"/>
          <c:y val="0.22522126594640787"/>
          <c:w val="0.67609380812246256"/>
          <c:h val="0.77436366965757186"/>
        </c:manualLayout>
      </c:layout>
      <c:pieChart>
        <c:varyColors val="1"/>
        <c:ser>
          <c:idx val="0"/>
          <c:order val="0"/>
          <c:tx>
            <c:strRef>
              <c:f>'Pivote Report'!$B$70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'Pivote Report'!$A$71:$A$73</c:f>
              <c:strCache>
                <c:ptCount val="2"/>
                <c:pt idx="0">
                  <c:v>Delay</c:v>
                </c:pt>
                <c:pt idx="1">
                  <c:v>Ontime</c:v>
                </c:pt>
              </c:strCache>
            </c:strRef>
          </c:cat>
          <c:val>
            <c:numRef>
              <c:f>'Pivote Report'!$B$71:$B$73</c:f>
              <c:numCache>
                <c:formatCode>0</c:formatCode>
                <c:ptCount val="2"/>
                <c:pt idx="0">
                  <c:v>312</c:v>
                </c:pt>
                <c:pt idx="1">
                  <c:v>194</c:v>
                </c:pt>
              </c:numCache>
            </c:numRef>
          </c:val>
          <c:extLst>
            <c:ext xmlns:c16="http://schemas.microsoft.com/office/drawing/2014/chart" uri="{C3380CC4-5D6E-409C-BE32-E72D297353CC}">
              <c16:uniqueId val="{00000008-68DC-4712-80E9-DDDBC758B10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1755191229091305"/>
          <c:y val="1.2718736319365136E-2"/>
          <c:w val="0.58800356955586486"/>
          <c:h val="0.15400247497833075"/>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Report!PivotTable10</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958140857483442"/>
          <c:y val="0.15776346138550862"/>
          <c:w val="0.57819682534899886"/>
          <c:h val="0.78144213791457884"/>
        </c:manualLayout>
      </c:layout>
      <c:doughnutChart>
        <c:varyColors val="1"/>
        <c:ser>
          <c:idx val="0"/>
          <c:order val="0"/>
          <c:tx>
            <c:strRef>
              <c:f>'Pivote Report'!$B$76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'Pivote Report'!$A$77:$A$79</c:f>
              <c:strCache>
                <c:ptCount val="2"/>
                <c:pt idx="0">
                  <c:v>Female</c:v>
                </c:pt>
                <c:pt idx="1">
                  <c:v>Male</c:v>
                </c:pt>
              </c:strCache>
            </c:strRef>
          </c:cat>
          <c:val>
            <c:numRef>
              <c:f>'Pivote Report'!$B$77:$B$79</c:f>
              <c:numCache>
                <c:formatCode>0</c:formatCode>
                <c:ptCount val="2"/>
                <c:pt idx="0">
                  <c:v>231</c:v>
                </c:pt>
                <c:pt idx="1">
                  <c:v>275</c:v>
                </c:pt>
              </c:numCache>
            </c:numRef>
          </c:val>
          <c:extLst>
            <c:ext xmlns:c16="http://schemas.microsoft.com/office/drawing/2014/chart" uri="{C3380CC4-5D6E-409C-BE32-E72D297353CC}">
              <c16:uniqueId val="{00000008-22EA-437A-B3EE-8D7E004AD43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809217749270739"/>
          <c:y val="2.4241151674222534E-2"/>
          <c:w val="0.25438920264623299"/>
          <c:h val="0.272729181579575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50896020503966"/>
          <c:y val="9.0976617154199094E-2"/>
          <c:w val="0.69779130089156605"/>
          <c:h val="0.79152041372466075"/>
        </c:manualLayout>
      </c:layout>
      <c:barChart>
        <c:barDir val="bar"/>
        <c:grouping val="clustered"/>
        <c:varyColors val="0"/>
        <c:ser>
          <c:idx val="0"/>
          <c:order val="0"/>
          <c:tx>
            <c:strRef>
              <c:f>'Pivote Report'!$B$82</c:f>
              <c:strCache>
                <c:ptCount val="1"/>
                <c:pt idx="0">
                  <c:v>Total</c:v>
                </c:pt>
              </c:strCache>
            </c:strRef>
          </c:tx>
          <c:spPr>
            <a:solidFill>
              <a:schemeClr val="accent1"/>
            </a:solidFill>
            <a:ln>
              <a:noFill/>
            </a:ln>
            <a:effectLst/>
          </c:spPr>
          <c:invertIfNegative val="0"/>
          <c:cat>
            <c:strRef>
              <c:f>'Pivote Report'!$A$83:$A$91</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'Pivote Report'!$B$83:$B$91</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4-CBD6-4945-AB8F-A21603E744AE}"/>
            </c:ext>
          </c:extLst>
        </c:ser>
        <c:dLbls>
          <c:showLegendKey val="0"/>
          <c:showVal val="0"/>
          <c:showCatName val="0"/>
          <c:showSerName val="0"/>
          <c:showPercent val="0"/>
          <c:showBubbleSize val="0"/>
        </c:dLbls>
        <c:gapWidth val="182"/>
        <c:axId val="607285864"/>
        <c:axId val="607286944"/>
      </c:barChart>
      <c:catAx>
        <c:axId val="607285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607286944"/>
        <c:crosses val="autoZero"/>
        <c:auto val="1"/>
        <c:lblAlgn val="ctr"/>
        <c:lblOffset val="100"/>
        <c:noMultiLvlLbl val="0"/>
      </c:catAx>
      <c:valAx>
        <c:axId val="6072869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85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747795414462"/>
          <c:y val="0.1513001237503965"/>
          <c:w val="0.84479717813051147"/>
          <c:h val="0.67202496452041882"/>
        </c:manualLayout>
      </c:layout>
      <c:areaChart>
        <c:grouping val="standard"/>
        <c:varyColors val="0"/>
        <c:ser>
          <c:idx val="0"/>
          <c:order val="0"/>
          <c:tx>
            <c:strRef>
              <c:f>'Pivote Report'!$E$4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'Pivote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2-7A9A-4F55-B1F0-647295F9A30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57951496"/>
        <c:axId val="457946456"/>
      </c:areaChart>
      <c:catAx>
        <c:axId val="45795149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57946456"/>
        <c:crosses val="autoZero"/>
        <c:auto val="1"/>
        <c:lblAlgn val="ctr"/>
        <c:lblOffset val="100"/>
        <c:noMultiLvlLbl val="0"/>
      </c:catAx>
      <c:valAx>
        <c:axId val="4579464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9514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00571078123725E-2"/>
          <c:y val="5.0196090831209718E-2"/>
          <c:w val="0.93588744563216641"/>
          <c:h val="0.83567721739749079"/>
        </c:manualLayout>
      </c:layout>
      <c:areaChart>
        <c:grouping val="standard"/>
        <c:varyColors val="0"/>
        <c:ser>
          <c:idx val="0"/>
          <c:order val="0"/>
          <c:tx>
            <c:strRef>
              <c:f>'Pivote Report'!$H$4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'Pivote Report'!$G$5:$G$36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Report'!$H$5:$H$36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2-535C-442B-91E8-293C8CC0CBA3}"/>
            </c:ext>
          </c:extLst>
        </c:ser>
        <c:dLbls>
          <c:showLegendKey val="0"/>
          <c:showVal val="1"/>
          <c:showCatName val="0"/>
          <c:showSerName val="0"/>
          <c:showPercent val="0"/>
          <c:showBubbleSize val="0"/>
        </c:dLbls>
        <c:axId val="755465616"/>
        <c:axId val="755472456"/>
      </c:areaChart>
      <c:catAx>
        <c:axId val="75546561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472456"/>
        <c:crosses val="autoZero"/>
        <c:auto val="1"/>
        <c:lblAlgn val="ctr"/>
        <c:lblOffset val="100"/>
        <c:noMultiLvlLbl val="0"/>
      </c:catAx>
      <c:valAx>
        <c:axId val="7554724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465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'Pivote Report'!$K$4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strRef>
              <c:f>'Pivote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'Pivote Report'!$K$5:$K$36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3-7E65-45A8-813A-DA283A071E7C}"/>
            </c:ext>
          </c:extLst>
        </c:ser>
        <c:dLbls>
          <c:showLegendKey val="0"/>
          <c:showVal val="0"/>
          <c:showCatName val="0"/>
          <c:showSerName val="0"/>
          <c:showPercent val="0"/>
          <c:showBubbleSize val="0"/>
        </c:dLbls>
        <c:axId val="457305000"/>
        <c:axId val="457300680"/>
      </c:areaChart>
      <c:catAx>
        <c:axId val="457305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crossAx val="457300680"/>
        <c:crosses val="autoZero"/>
        <c:auto val="1"/>
        <c:lblAlgn val="ctr"/>
        <c:lblOffset val="100"/>
        <c:noMultiLvlLbl val="0"/>
      </c:catAx>
      <c:valAx>
        <c:axId val="457300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crossAx val="457305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(Recovered).xlsx]Pivote Report!PivotTable7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F909803-8162-40B9-B1A3-1A319C5B0F5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DE11C53-892B-43A0-9569-891C2271D4F9}"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65500A5-AE47-4832-A2D9-5CF22AC5E245}"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8425196850394"/>
          <c:y val="7.407407407407407E-2"/>
          <c:w val="0.76275196850393701"/>
          <c:h val="0.8416746864975212"/>
        </c:manualLayout>
      </c:layout>
      <c:barChart>
        <c:barDir val="bar"/>
        <c:grouping val="clustered"/>
        <c:varyColors val="0"/>
        <c:ser>
          <c:idx val="0"/>
          <c:order val="0"/>
          <c:tx>
            <c:strRef>
              <c:f>'Pivote Report'!$C$45:$C$46</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'Pivote Report'!$C$45:$C$46</c:f>
              <c:strCache>
                <c:ptCount val="2"/>
                <c:pt idx="0">
                  <c:v>Addmited</c:v>
                </c:pt>
                <c:pt idx="1">
                  <c:v>Not Admited</c:v>
                </c:pt>
              </c:strCache>
            </c:strRef>
          </c:cat>
          <c:val>
            <c:numRef>
              <c:f>'Pivote Report'!$C$45:$C$46</c:f>
              <c:numCache>
                <c:formatCode>0.00</c:formatCode>
                <c:ptCount val="2"/>
                <c:pt idx="0">
                  <c:v>253</c:v>
                </c:pt>
                <c:pt idx="1">
                  <c:v>253</c:v>
                </c:pt>
              </c:numCache>
            </c:numRef>
          </c:val>
          <c:extLst>
            <c:ext xmlns:c16="http://schemas.microsoft.com/office/drawing/2014/chart" uri="{C3380CC4-5D6E-409C-BE32-E72D297353CC}">
              <c16:uniqueId val="{00000008-07E8-4867-BE88-04AB6D256742}"/>
            </c:ext>
          </c:extLst>
        </c:ser>
        <c:ser>
          <c:idx val="1"/>
          <c:order val="1"/>
          <c:tx>
            <c:strRef>
              <c:f>'Pivote Report'!$C$45:$C$46</c:f>
              <c:strCache>
                <c:ptCount val="1"/>
                <c:pt idx="0">
                  <c:v>Count of Patient Admission Flag2</c:v>
                </c:pt>
              </c:strCache>
            </c:strRef>
          </c:tx>
          <c:spPr>
            <a:solidFill>
              <a:schemeClr val="accent2"/>
            </a:solidFill>
            <a:ln>
              <a:noFill/>
            </a:ln>
            <a:effectLst/>
          </c:spPr>
          <c:invertIfNegative val="0"/>
          <c:cat>
            <c:strRef>
              <c:f>'Pivote Report'!$C$45:$C$46</c:f>
              <c:strCache>
                <c:ptCount val="2"/>
                <c:pt idx="0">
                  <c:v>Addmited</c:v>
                </c:pt>
                <c:pt idx="1">
                  <c:v>Not Admited</c:v>
                </c:pt>
              </c:strCache>
            </c:strRef>
          </c:cat>
          <c:val>
            <c:numRef>
              <c:f>'Pivote Report'!$C$45:$C$46</c:f>
              <c:numCache>
                <c:formatCode>0.00%</c:formatCode>
                <c:ptCount val="2"/>
                <c:pt idx="0">
                  <c:v>0.5</c:v>
                </c:pt>
                <c:pt idx="1">
                  <c:v>0.5</c:v>
                </c:pt>
              </c:numCache>
            </c:numRef>
          </c:val>
          <c:extLst>
            <c:ext xmlns:c16="http://schemas.microsoft.com/office/drawing/2014/chart" uri="{C3380CC4-5D6E-409C-BE32-E72D297353CC}">
              <c16:uniqueId val="{00000009-07E8-4867-BE88-04AB6D256742}"/>
            </c:ext>
          </c:extLst>
        </c:ser>
        <c:dLbls>
          <c:showLegendKey val="0"/>
          <c:showVal val="0"/>
          <c:showCatName val="0"/>
          <c:showSerName val="0"/>
          <c:showPercent val="0"/>
          <c:showBubbleSize val="0"/>
        </c:dLbls>
        <c:gapWidth val="72"/>
        <c:axId val="579785976"/>
        <c:axId val="579787776"/>
      </c:barChart>
      <c:catAx>
        <c:axId val="579785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787776"/>
        <c:crosses val="autoZero"/>
        <c:auto val="1"/>
        <c:lblAlgn val="ctr"/>
        <c:lblOffset val="100"/>
        <c:noMultiLvlLbl val="0"/>
      </c:catAx>
      <c:valAx>
        <c:axId val="57978777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785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chart" Target="../charts/chart8.xml"/><Relationship Id="rId2" Type="http://schemas.openxmlformats.org/officeDocument/2006/relationships/hyperlink" Target="#'daily ER room petients'!A1"/><Relationship Id="rId1" Type="http://schemas.openxmlformats.org/officeDocument/2006/relationships/image" Target="../media/image1.png"/><Relationship Id="rId6" Type="http://schemas.openxmlformats.org/officeDocument/2006/relationships/hyperlink" Target="#'satisfication score daily trend'!A1"/><Relationship Id="rId11" Type="http://schemas.openxmlformats.org/officeDocument/2006/relationships/chart" Target="../charts/chart7.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hyperlink" Target="#'average wait time daily'!A1"/><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66674</xdr:colOff>
      <xdr:row>52</xdr:row>
      <xdr:rowOff>38100</xdr:rowOff>
    </xdr:from>
    <xdr:to>
      <xdr:col>4</xdr:col>
      <xdr:colOff>590550</xdr:colOff>
      <xdr:row>53</xdr:row>
      <xdr:rowOff>133350</xdr:rowOff>
    </xdr:to>
    <xdr:graphicFrame macro="">
      <xdr:nvGraphicFramePr>
        <xdr:cNvPr id="4" name="Chart 3">
          <a:extLst>
            <a:ext uri="{FF2B5EF4-FFF2-40B4-BE49-F238E27FC236}">
              <a16:creationId xmlns:a16="http://schemas.microsoft.com/office/drawing/2014/main" id="{181C8475-7AE0-4F1B-BF7E-DE55447A4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95249</xdr:colOff>
      <xdr:row>1</xdr:row>
      <xdr:rowOff>66675</xdr:rowOff>
    </xdr:from>
    <xdr:to>
      <xdr:col>6</xdr:col>
      <xdr:colOff>85724</xdr:colOff>
      <xdr:row>4</xdr:row>
      <xdr:rowOff>85725</xdr:rowOff>
    </xdr:to>
    <xdr:sp macro="" textlink="">
      <xdr:nvSpPr>
        <xdr:cNvPr id="2" name="Rectangle: Rounded Corners 1">
          <a:extLst>
            <a:ext uri="{FF2B5EF4-FFF2-40B4-BE49-F238E27FC236}">
              <a16:creationId xmlns:a16="http://schemas.microsoft.com/office/drawing/2014/main" id="{034901C4-0BD2-E312-F7FB-E54D49A0A286}"/>
            </a:ext>
          </a:extLst>
        </xdr:cNvPr>
        <xdr:cNvSpPr/>
      </xdr:nvSpPr>
      <xdr:spPr>
        <a:xfrm>
          <a:off x="95249" y="257175"/>
          <a:ext cx="3648075" cy="59055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190500</xdr:colOff>
      <xdr:row>1</xdr:row>
      <xdr:rowOff>85725</xdr:rowOff>
    </xdr:from>
    <xdr:to>
      <xdr:col>9</xdr:col>
      <xdr:colOff>342900</xdr:colOff>
      <xdr:row>4</xdr:row>
      <xdr:rowOff>47625</xdr:rowOff>
    </xdr:to>
    <xdr:sp macro="" textlink="">
      <xdr:nvSpPr>
        <xdr:cNvPr id="3" name="Rectangle: Rounded Corners 2">
          <a:extLst>
            <a:ext uri="{FF2B5EF4-FFF2-40B4-BE49-F238E27FC236}">
              <a16:creationId xmlns:a16="http://schemas.microsoft.com/office/drawing/2014/main" id="{3CF4982E-7C28-8A34-53DB-F123C268014C}"/>
            </a:ext>
          </a:extLst>
        </xdr:cNvPr>
        <xdr:cNvSpPr/>
      </xdr:nvSpPr>
      <xdr:spPr>
        <a:xfrm>
          <a:off x="3848100" y="276225"/>
          <a:ext cx="1981200" cy="53340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123825</xdr:colOff>
      <xdr:row>5</xdr:row>
      <xdr:rowOff>19050</xdr:rowOff>
    </xdr:from>
    <xdr:to>
      <xdr:col>1</xdr:col>
      <xdr:colOff>571500</xdr:colOff>
      <xdr:row>21</xdr:row>
      <xdr:rowOff>57150</xdr:rowOff>
    </xdr:to>
    <xdr:sp macro="" textlink="">
      <xdr:nvSpPr>
        <xdr:cNvPr id="8" name="Rectangle 7">
          <a:extLst>
            <a:ext uri="{FF2B5EF4-FFF2-40B4-BE49-F238E27FC236}">
              <a16:creationId xmlns:a16="http://schemas.microsoft.com/office/drawing/2014/main" id="{A46F3ED5-5263-9E49-C9F2-4476CAD73324}"/>
            </a:ext>
          </a:extLst>
        </xdr:cNvPr>
        <xdr:cNvSpPr/>
      </xdr:nvSpPr>
      <xdr:spPr>
        <a:xfrm>
          <a:off x="123825" y="971550"/>
          <a:ext cx="1057275" cy="30861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66674</xdr:colOff>
      <xdr:row>5</xdr:row>
      <xdr:rowOff>38100</xdr:rowOff>
    </xdr:from>
    <xdr:to>
      <xdr:col>4</xdr:col>
      <xdr:colOff>257175</xdr:colOff>
      <xdr:row>10</xdr:row>
      <xdr:rowOff>66675</xdr:rowOff>
    </xdr:to>
    <xdr:sp macro="" textlink="">
      <xdr:nvSpPr>
        <xdr:cNvPr id="9" name="Rectangle 8">
          <a:extLst>
            <a:ext uri="{FF2B5EF4-FFF2-40B4-BE49-F238E27FC236}">
              <a16:creationId xmlns:a16="http://schemas.microsoft.com/office/drawing/2014/main" id="{815430CB-19D7-585F-34B8-4E783F7852CE}"/>
            </a:ext>
          </a:extLst>
        </xdr:cNvPr>
        <xdr:cNvSpPr/>
      </xdr:nvSpPr>
      <xdr:spPr>
        <a:xfrm>
          <a:off x="1285874" y="990600"/>
          <a:ext cx="1409701" cy="981075"/>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323850</xdr:colOff>
      <xdr:row>5</xdr:row>
      <xdr:rowOff>28575</xdr:rowOff>
    </xdr:from>
    <xdr:to>
      <xdr:col>6</xdr:col>
      <xdr:colOff>533400</xdr:colOff>
      <xdr:row>10</xdr:row>
      <xdr:rowOff>57150</xdr:rowOff>
    </xdr:to>
    <xdr:sp macro="" textlink="">
      <xdr:nvSpPr>
        <xdr:cNvPr id="10" name="Rectangle 9">
          <a:extLst>
            <a:ext uri="{FF2B5EF4-FFF2-40B4-BE49-F238E27FC236}">
              <a16:creationId xmlns:a16="http://schemas.microsoft.com/office/drawing/2014/main" id="{7E6C7E33-D214-07FA-F783-5F873B4AF2EF}"/>
            </a:ext>
          </a:extLst>
        </xdr:cNvPr>
        <xdr:cNvSpPr/>
      </xdr:nvSpPr>
      <xdr:spPr>
        <a:xfrm>
          <a:off x="2762250" y="981075"/>
          <a:ext cx="1428750" cy="981075"/>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7</xdr:col>
      <xdr:colOff>9525</xdr:colOff>
      <xdr:row>5</xdr:row>
      <xdr:rowOff>28575</xdr:rowOff>
    </xdr:from>
    <xdr:to>
      <xdr:col>9</xdr:col>
      <xdr:colOff>352424</xdr:colOff>
      <xdr:row>10</xdr:row>
      <xdr:rowOff>57150</xdr:rowOff>
    </xdr:to>
    <xdr:sp macro="" textlink="">
      <xdr:nvSpPr>
        <xdr:cNvPr id="11" name="Rectangle 10">
          <a:extLst>
            <a:ext uri="{FF2B5EF4-FFF2-40B4-BE49-F238E27FC236}">
              <a16:creationId xmlns:a16="http://schemas.microsoft.com/office/drawing/2014/main" id="{9E9E852C-31BC-6E71-7DBF-39614CC8DE15}"/>
            </a:ext>
          </a:extLst>
        </xdr:cNvPr>
        <xdr:cNvSpPr/>
      </xdr:nvSpPr>
      <xdr:spPr>
        <a:xfrm>
          <a:off x="4276725" y="981075"/>
          <a:ext cx="1562099" cy="981075"/>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76199</xdr:colOff>
      <xdr:row>15</xdr:row>
      <xdr:rowOff>38100</xdr:rowOff>
    </xdr:from>
    <xdr:to>
      <xdr:col>9</xdr:col>
      <xdr:colOff>314325</xdr:colOff>
      <xdr:row>21</xdr:row>
      <xdr:rowOff>38101</xdr:rowOff>
    </xdr:to>
    <xdr:sp macro="" textlink="">
      <xdr:nvSpPr>
        <xdr:cNvPr id="13" name="Rectangle 12">
          <a:extLst>
            <a:ext uri="{FF2B5EF4-FFF2-40B4-BE49-F238E27FC236}">
              <a16:creationId xmlns:a16="http://schemas.microsoft.com/office/drawing/2014/main" id="{1054EED6-9020-FBAC-658E-7F4A235BB658}"/>
            </a:ext>
          </a:extLst>
        </xdr:cNvPr>
        <xdr:cNvSpPr/>
      </xdr:nvSpPr>
      <xdr:spPr>
        <a:xfrm>
          <a:off x="1295399" y="2895600"/>
          <a:ext cx="4505326" cy="1143001"/>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95248</xdr:colOff>
      <xdr:row>11</xdr:row>
      <xdr:rowOff>1</xdr:rowOff>
    </xdr:from>
    <xdr:to>
      <xdr:col>9</xdr:col>
      <xdr:colOff>361949</xdr:colOff>
      <xdr:row>14</xdr:row>
      <xdr:rowOff>28575</xdr:rowOff>
    </xdr:to>
    <xdr:sp macro="" textlink="">
      <xdr:nvSpPr>
        <xdr:cNvPr id="14" name="Rectangle 13">
          <a:extLst>
            <a:ext uri="{FF2B5EF4-FFF2-40B4-BE49-F238E27FC236}">
              <a16:creationId xmlns:a16="http://schemas.microsoft.com/office/drawing/2014/main" id="{463094BD-056E-BA8C-78BE-DEEF884BCC53}"/>
            </a:ext>
          </a:extLst>
        </xdr:cNvPr>
        <xdr:cNvSpPr/>
      </xdr:nvSpPr>
      <xdr:spPr>
        <a:xfrm>
          <a:off x="1314448" y="2095501"/>
          <a:ext cx="4533901" cy="600074"/>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228600</xdr:colOff>
      <xdr:row>21</xdr:row>
      <xdr:rowOff>57150</xdr:rowOff>
    </xdr:from>
    <xdr:to>
      <xdr:col>17</xdr:col>
      <xdr:colOff>57150</xdr:colOff>
      <xdr:row>21</xdr:row>
      <xdr:rowOff>57150</xdr:rowOff>
    </xdr:to>
    <xdr:cxnSp macro="">
      <xdr:nvCxnSpPr>
        <xdr:cNvPr id="16" name="Straight Connector 15">
          <a:extLst>
            <a:ext uri="{FF2B5EF4-FFF2-40B4-BE49-F238E27FC236}">
              <a16:creationId xmlns:a16="http://schemas.microsoft.com/office/drawing/2014/main" id="{632DB80E-EAC8-7C40-1A2E-33A3252F5CE2}"/>
            </a:ext>
          </a:extLst>
        </xdr:cNvPr>
        <xdr:cNvCxnSpPr/>
      </xdr:nvCxnSpPr>
      <xdr:spPr>
        <a:xfrm>
          <a:off x="228600" y="4057650"/>
          <a:ext cx="101917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495300</xdr:colOff>
      <xdr:row>0</xdr:row>
      <xdr:rowOff>142874</xdr:rowOff>
    </xdr:from>
    <xdr:to>
      <xdr:col>15</xdr:col>
      <xdr:colOff>523875</xdr:colOff>
      <xdr:row>10</xdr:row>
      <xdr:rowOff>9525</xdr:rowOff>
    </xdr:to>
    <xdr:sp macro="" textlink="">
      <xdr:nvSpPr>
        <xdr:cNvPr id="17" name="Rectangle: Rounded Corners 16">
          <a:extLst>
            <a:ext uri="{FF2B5EF4-FFF2-40B4-BE49-F238E27FC236}">
              <a16:creationId xmlns:a16="http://schemas.microsoft.com/office/drawing/2014/main" id="{03950BF5-C276-9AD8-499A-2197D2CAC565}"/>
            </a:ext>
          </a:extLst>
        </xdr:cNvPr>
        <xdr:cNvSpPr/>
      </xdr:nvSpPr>
      <xdr:spPr>
        <a:xfrm>
          <a:off x="5981700" y="142874"/>
          <a:ext cx="3686175" cy="1771651"/>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533400</xdr:colOff>
      <xdr:row>1</xdr:row>
      <xdr:rowOff>180975</xdr:rowOff>
    </xdr:from>
    <xdr:to>
      <xdr:col>15</xdr:col>
      <xdr:colOff>533400</xdr:colOff>
      <xdr:row>26</xdr:row>
      <xdr:rowOff>47625</xdr:rowOff>
    </xdr:to>
    <xdr:cxnSp macro="">
      <xdr:nvCxnSpPr>
        <xdr:cNvPr id="19" name="Straight Connector 18">
          <a:extLst>
            <a:ext uri="{FF2B5EF4-FFF2-40B4-BE49-F238E27FC236}">
              <a16:creationId xmlns:a16="http://schemas.microsoft.com/office/drawing/2014/main" id="{42C788A5-59D0-7A0E-F0DD-05B8ABDC58E8}"/>
            </a:ext>
          </a:extLst>
        </xdr:cNvPr>
        <xdr:cNvCxnSpPr/>
      </xdr:nvCxnSpPr>
      <xdr:spPr>
        <a:xfrm>
          <a:off x="9677400" y="371475"/>
          <a:ext cx="0" cy="46291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161925</xdr:colOff>
      <xdr:row>2</xdr:row>
      <xdr:rowOff>9525</xdr:rowOff>
    </xdr:from>
    <xdr:to>
      <xdr:col>5</xdr:col>
      <xdr:colOff>85724</xdr:colOff>
      <xdr:row>3</xdr:row>
      <xdr:rowOff>19050</xdr:rowOff>
    </xdr:to>
    <xdr:sp macro="" textlink="">
      <xdr:nvSpPr>
        <xdr:cNvPr id="21" name="TextBox 20">
          <a:extLst>
            <a:ext uri="{FF2B5EF4-FFF2-40B4-BE49-F238E27FC236}">
              <a16:creationId xmlns:a16="http://schemas.microsoft.com/office/drawing/2014/main" id="{EC1B9D60-4033-BD40-BCD1-4968C2A198FD}"/>
            </a:ext>
          </a:extLst>
        </xdr:cNvPr>
        <xdr:cNvSpPr txBox="1"/>
      </xdr:nvSpPr>
      <xdr:spPr>
        <a:xfrm>
          <a:off x="771525" y="390525"/>
          <a:ext cx="2362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lang="en-IN" sz="1100" b="1"/>
            <a:t>Hospital Emergency Room Dashboard</a:t>
          </a:r>
        </a:p>
      </xdr:txBody>
    </xdr:sp>
    <xdr:clientData/>
  </xdr:twoCellAnchor>
  <xdr:twoCellAnchor editAs="oneCell">
    <xdr:from>
      <xdr:col>0</xdr:col>
      <xdr:colOff>104775</xdr:colOff>
      <xdr:row>1</xdr:row>
      <xdr:rowOff>38100</xdr:rowOff>
    </xdr:from>
    <xdr:to>
      <xdr:col>1</xdr:col>
      <xdr:colOff>266700</xdr:colOff>
      <xdr:row>4</xdr:row>
      <xdr:rowOff>152400</xdr:rowOff>
    </xdr:to>
    <xdr:pic>
      <xdr:nvPicPr>
        <xdr:cNvPr id="23" name="Picture 22">
          <a:extLst>
            <a:ext uri="{FF2B5EF4-FFF2-40B4-BE49-F238E27FC236}">
              <a16:creationId xmlns:a16="http://schemas.microsoft.com/office/drawing/2014/main" id="{DE1FB8C3-F26A-5496-112C-19806E4162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228600"/>
          <a:ext cx="771525" cy="685800"/>
        </a:xfrm>
        <a:prstGeom prst="rect">
          <a:avLst/>
        </a:prstGeom>
      </xdr:spPr>
    </xdr:pic>
    <xdr:clientData/>
  </xdr:twoCellAnchor>
  <xdr:twoCellAnchor>
    <xdr:from>
      <xdr:col>1</xdr:col>
      <xdr:colOff>276225</xdr:colOff>
      <xdr:row>3</xdr:row>
      <xdr:rowOff>28575</xdr:rowOff>
    </xdr:from>
    <xdr:to>
      <xdr:col>5</xdr:col>
      <xdr:colOff>200024</xdr:colOff>
      <xdr:row>4</xdr:row>
      <xdr:rowOff>38100</xdr:rowOff>
    </xdr:to>
    <xdr:sp macro="" textlink="">
      <xdr:nvSpPr>
        <xdr:cNvPr id="26" name="TextBox 25">
          <a:extLst>
            <a:ext uri="{FF2B5EF4-FFF2-40B4-BE49-F238E27FC236}">
              <a16:creationId xmlns:a16="http://schemas.microsoft.com/office/drawing/2014/main" id="{F0FFDD52-DDD2-DB8B-A271-26A53F7744FE}"/>
            </a:ext>
          </a:extLst>
        </xdr:cNvPr>
        <xdr:cNvSpPr txBox="1"/>
      </xdr:nvSpPr>
      <xdr:spPr>
        <a:xfrm>
          <a:off x="885825" y="600075"/>
          <a:ext cx="2362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r>
            <a:rPr lang="en-IN" sz="1100" b="1" baseline="0"/>
            <a:t>             </a:t>
          </a:r>
          <a:r>
            <a:rPr lang="en-IN" sz="1100" b="0" baseline="0"/>
            <a:t>Monthly Report</a:t>
          </a:r>
          <a:endParaRPr lang="en-IN" sz="1100" b="0"/>
        </a:p>
      </xdr:txBody>
    </xdr:sp>
    <xdr:clientData/>
  </xdr:twoCellAnchor>
  <xdr:twoCellAnchor>
    <xdr:from>
      <xdr:col>2</xdr:col>
      <xdr:colOff>514350</xdr:colOff>
      <xdr:row>6</xdr:row>
      <xdr:rowOff>19050</xdr:rowOff>
    </xdr:from>
    <xdr:to>
      <xdr:col>3</xdr:col>
      <xdr:colOff>590551</xdr:colOff>
      <xdr:row>7</xdr:row>
      <xdr:rowOff>104775</xdr:rowOff>
    </xdr:to>
    <xdr:sp macro="" textlink="'Pivote Report'!A5">
      <xdr:nvSpPr>
        <xdr:cNvPr id="27" name="TextBox 26">
          <a:extLst>
            <a:ext uri="{FF2B5EF4-FFF2-40B4-BE49-F238E27FC236}">
              <a16:creationId xmlns:a16="http://schemas.microsoft.com/office/drawing/2014/main" id="{B94F107A-0F8C-651F-0848-FF48267D6EF5}"/>
            </a:ext>
          </a:extLst>
        </xdr:cNvPr>
        <xdr:cNvSpPr txBox="1"/>
      </xdr:nvSpPr>
      <xdr:spPr>
        <a:xfrm>
          <a:off x="1733550" y="1162050"/>
          <a:ext cx="6858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fld id="{32BD2483-5840-4D86-AD08-41648E8D5E8D}" type="TxLink">
            <a:rPr lang="en-US" sz="1100" b="1" i="0" u="none" strike="noStrike" baseline="0">
              <a:solidFill>
                <a:srgbClr val="000000"/>
              </a:solidFill>
              <a:latin typeface="Calibri"/>
              <a:cs typeface="Calibri"/>
            </a:rPr>
            <a:pPr/>
            <a:t>506</a:t>
          </a:fld>
          <a:endParaRPr lang="en-IN" sz="1100" b="1"/>
        </a:p>
      </xdr:txBody>
    </xdr:sp>
    <xdr:clientData/>
  </xdr:twoCellAnchor>
  <xdr:twoCellAnchor>
    <xdr:from>
      <xdr:col>1</xdr:col>
      <xdr:colOff>552450</xdr:colOff>
      <xdr:row>7</xdr:row>
      <xdr:rowOff>152400</xdr:rowOff>
    </xdr:from>
    <xdr:to>
      <xdr:col>5</xdr:col>
      <xdr:colOff>476249</xdr:colOff>
      <xdr:row>8</xdr:row>
      <xdr:rowOff>161925</xdr:rowOff>
    </xdr:to>
    <xdr:sp macro="" textlink="">
      <xdr:nvSpPr>
        <xdr:cNvPr id="28" name="TextBox 27">
          <a:extLst>
            <a:ext uri="{FF2B5EF4-FFF2-40B4-BE49-F238E27FC236}">
              <a16:creationId xmlns:a16="http://schemas.microsoft.com/office/drawing/2014/main" id="{2ACFC54D-8358-9279-42E7-AB45D3B51322}"/>
            </a:ext>
          </a:extLst>
        </xdr:cNvPr>
        <xdr:cNvSpPr txBox="1"/>
      </xdr:nvSpPr>
      <xdr:spPr>
        <a:xfrm>
          <a:off x="1162050" y="1485900"/>
          <a:ext cx="2362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r>
            <a:rPr lang="en-IN" sz="1100" b="1" baseline="0"/>
            <a:t>             Monthly Report</a:t>
          </a:r>
          <a:endParaRPr lang="en-IN" sz="1100" b="1"/>
        </a:p>
      </xdr:txBody>
    </xdr:sp>
    <xdr:clientData/>
  </xdr:twoCellAnchor>
  <xdr:twoCellAnchor>
    <xdr:from>
      <xdr:col>5</xdr:col>
      <xdr:colOff>57150</xdr:colOff>
      <xdr:row>6</xdr:row>
      <xdr:rowOff>47625</xdr:rowOff>
    </xdr:from>
    <xdr:to>
      <xdr:col>6</xdr:col>
      <xdr:colOff>133351</xdr:colOff>
      <xdr:row>7</xdr:row>
      <xdr:rowOff>133350</xdr:rowOff>
    </xdr:to>
    <xdr:sp macro="" textlink="'Pivote Report'!A9">
      <xdr:nvSpPr>
        <xdr:cNvPr id="29" name="TextBox 28">
          <a:extLst>
            <a:ext uri="{FF2B5EF4-FFF2-40B4-BE49-F238E27FC236}">
              <a16:creationId xmlns:a16="http://schemas.microsoft.com/office/drawing/2014/main" id="{10790AFB-40EA-65DC-7791-D11FF42E673A}"/>
            </a:ext>
          </a:extLst>
        </xdr:cNvPr>
        <xdr:cNvSpPr txBox="1"/>
      </xdr:nvSpPr>
      <xdr:spPr>
        <a:xfrm>
          <a:off x="3105150" y="1190625"/>
          <a:ext cx="6858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fld id="{7E7607D6-B97A-47FF-B017-82A3E931E09F}" type="TxLink">
            <a:rPr lang="en-US" sz="1100" b="0" i="0" u="none" strike="noStrike" baseline="0">
              <a:solidFill>
                <a:srgbClr val="000000"/>
              </a:solidFill>
              <a:latin typeface="Calibri"/>
              <a:cs typeface="Calibri"/>
            </a:rPr>
            <a:pPr/>
            <a:t>35.88</a:t>
          </a:fld>
          <a:endParaRPr lang="en-IN" sz="1100" b="1"/>
        </a:p>
      </xdr:txBody>
    </xdr:sp>
    <xdr:clientData/>
  </xdr:twoCellAnchor>
  <xdr:twoCellAnchor>
    <xdr:from>
      <xdr:col>3</xdr:col>
      <xdr:colOff>581025</xdr:colOff>
      <xdr:row>7</xdr:row>
      <xdr:rowOff>142875</xdr:rowOff>
    </xdr:from>
    <xdr:to>
      <xdr:col>7</xdr:col>
      <xdr:colOff>504824</xdr:colOff>
      <xdr:row>8</xdr:row>
      <xdr:rowOff>152400</xdr:rowOff>
    </xdr:to>
    <xdr:sp macro="" textlink="">
      <xdr:nvSpPr>
        <xdr:cNvPr id="30" name="TextBox 29">
          <a:extLst>
            <a:ext uri="{FF2B5EF4-FFF2-40B4-BE49-F238E27FC236}">
              <a16:creationId xmlns:a16="http://schemas.microsoft.com/office/drawing/2014/main" id="{C0404452-44CE-4D5B-0047-11C3AF04AD74}"/>
            </a:ext>
          </a:extLst>
        </xdr:cNvPr>
        <xdr:cNvSpPr txBox="1"/>
      </xdr:nvSpPr>
      <xdr:spPr>
        <a:xfrm>
          <a:off x="2409825" y="1476375"/>
          <a:ext cx="2362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r>
            <a:rPr lang="en-IN" sz="1100" b="1" baseline="0"/>
            <a:t>             Average wait time</a:t>
          </a:r>
          <a:endParaRPr lang="en-IN" sz="1100" b="0"/>
        </a:p>
      </xdr:txBody>
    </xdr:sp>
    <xdr:clientData/>
  </xdr:twoCellAnchor>
  <xdr:twoCellAnchor>
    <xdr:from>
      <xdr:col>7</xdr:col>
      <xdr:colOff>514350</xdr:colOff>
      <xdr:row>6</xdr:row>
      <xdr:rowOff>0</xdr:rowOff>
    </xdr:from>
    <xdr:to>
      <xdr:col>8</xdr:col>
      <xdr:colOff>590551</xdr:colOff>
      <xdr:row>7</xdr:row>
      <xdr:rowOff>85725</xdr:rowOff>
    </xdr:to>
    <xdr:sp macro="" textlink="'Pivote Report'!A12">
      <xdr:nvSpPr>
        <xdr:cNvPr id="31" name="TextBox 30">
          <a:extLst>
            <a:ext uri="{FF2B5EF4-FFF2-40B4-BE49-F238E27FC236}">
              <a16:creationId xmlns:a16="http://schemas.microsoft.com/office/drawing/2014/main" id="{EDF07629-3242-A265-5DB7-CA3C2F4CB83C}"/>
            </a:ext>
          </a:extLst>
        </xdr:cNvPr>
        <xdr:cNvSpPr txBox="1"/>
      </xdr:nvSpPr>
      <xdr:spPr>
        <a:xfrm>
          <a:off x="4781550" y="1143000"/>
          <a:ext cx="6858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fld id="{3990795E-0387-477A-98C5-91B89048EE86}" type="TxLink">
            <a:rPr lang="en-US" sz="1100" b="0" i="0" u="none" strike="noStrike">
              <a:solidFill>
                <a:srgbClr val="000000"/>
              </a:solidFill>
              <a:latin typeface="Calibri"/>
              <a:cs typeface="Calibri"/>
            </a:rPr>
            <a:pPr/>
            <a:t>5.33</a:t>
          </a:fld>
          <a:endParaRPr lang="en-IN" sz="1100" b="1"/>
        </a:p>
      </xdr:txBody>
    </xdr:sp>
    <xdr:clientData/>
  </xdr:twoCellAnchor>
  <xdr:twoCellAnchor>
    <xdr:from>
      <xdr:col>6</xdr:col>
      <xdr:colOff>142875</xdr:colOff>
      <xdr:row>7</xdr:row>
      <xdr:rowOff>142875</xdr:rowOff>
    </xdr:from>
    <xdr:to>
      <xdr:col>10</xdr:col>
      <xdr:colOff>66674</xdr:colOff>
      <xdr:row>8</xdr:row>
      <xdr:rowOff>152400</xdr:rowOff>
    </xdr:to>
    <xdr:sp macro="" textlink="">
      <xdr:nvSpPr>
        <xdr:cNvPr id="32" name="TextBox 31">
          <a:extLst>
            <a:ext uri="{FF2B5EF4-FFF2-40B4-BE49-F238E27FC236}">
              <a16:creationId xmlns:a16="http://schemas.microsoft.com/office/drawing/2014/main" id="{2CB05B5F-DD00-0F13-56F2-E4729F5D5C79}"/>
            </a:ext>
          </a:extLst>
        </xdr:cNvPr>
        <xdr:cNvSpPr txBox="1"/>
      </xdr:nvSpPr>
      <xdr:spPr>
        <a:xfrm>
          <a:off x="3800475" y="1476375"/>
          <a:ext cx="2362199"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r>
            <a:rPr lang="en-IN" sz="1100" b="1" baseline="0"/>
            <a:t>              paitient satisfaction score</a:t>
          </a:r>
          <a:endParaRPr lang="en-IN" sz="1100" b="0"/>
        </a:p>
      </xdr:txBody>
    </xdr:sp>
    <xdr:clientData/>
  </xdr:twoCellAnchor>
  <xdr:twoCellAnchor editAs="oneCell">
    <xdr:from>
      <xdr:col>0</xdr:col>
      <xdr:colOff>123826</xdr:colOff>
      <xdr:row>5</xdr:row>
      <xdr:rowOff>19050</xdr:rowOff>
    </xdr:from>
    <xdr:to>
      <xdr:col>1</xdr:col>
      <xdr:colOff>579226</xdr:colOff>
      <xdr:row>21</xdr:row>
      <xdr:rowOff>38100</xdr:rowOff>
    </xdr:to>
    <mc:AlternateContent xmlns:mc="http://schemas.openxmlformats.org/markup-compatibility/2006" xmlns:a14="http://schemas.microsoft.com/office/drawing/2010/main">
      <mc:Choice Requires="a14">
        <xdr:graphicFrame macro="">
          <xdr:nvGraphicFramePr>
            <xdr:cNvPr id="5" name="Column1 (Month)">
              <a:extLst>
                <a:ext uri="{FF2B5EF4-FFF2-40B4-BE49-F238E27FC236}">
                  <a16:creationId xmlns:a16="http://schemas.microsoft.com/office/drawing/2014/main" id="{DC2B0347-716E-45AF-9175-F159164D8106}"/>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123826" y="971550"/>
              <a:ext cx="1065000" cy="3067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266700</xdr:colOff>
      <xdr:row>7</xdr:row>
      <xdr:rowOff>9525</xdr:rowOff>
    </xdr:from>
    <xdr:to>
      <xdr:col>4</xdr:col>
      <xdr:colOff>209550</xdr:colOff>
      <xdr:row>10</xdr:row>
      <xdr:rowOff>95250</xdr:rowOff>
    </xdr:to>
    <xdr:graphicFrame macro="">
      <xdr:nvGraphicFramePr>
        <xdr:cNvPr id="6" name="Chart 5">
          <a:hlinkClick xmlns:r="http://schemas.openxmlformats.org/officeDocument/2006/relationships" r:id="rId2"/>
          <a:extLst>
            <a:ext uri="{FF2B5EF4-FFF2-40B4-BE49-F238E27FC236}">
              <a16:creationId xmlns:a16="http://schemas.microsoft.com/office/drawing/2014/main" id="{6FA58225-F3DF-48E6-A3AD-69B775CB6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314326</xdr:colOff>
      <xdr:row>8</xdr:row>
      <xdr:rowOff>95249</xdr:rowOff>
    </xdr:from>
    <xdr:to>
      <xdr:col>6</xdr:col>
      <xdr:colOff>571500</xdr:colOff>
      <xdr:row>10</xdr:row>
      <xdr:rowOff>47624</xdr:rowOff>
    </xdr:to>
    <xdr:graphicFrame macro="">
      <xdr:nvGraphicFramePr>
        <xdr:cNvPr id="15" name="Chart 14">
          <a:hlinkClick xmlns:r="http://schemas.openxmlformats.org/officeDocument/2006/relationships" r:id="rId4"/>
          <a:extLst>
            <a:ext uri="{FF2B5EF4-FFF2-40B4-BE49-F238E27FC236}">
              <a16:creationId xmlns:a16="http://schemas.microsoft.com/office/drawing/2014/main" id="{58CA0D20-833B-453D-BFC7-2428781E4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590550</xdr:colOff>
      <xdr:row>7</xdr:row>
      <xdr:rowOff>171449</xdr:rowOff>
    </xdr:from>
    <xdr:to>
      <xdr:col>9</xdr:col>
      <xdr:colOff>247650</xdr:colOff>
      <xdr:row>10</xdr:row>
      <xdr:rowOff>47624</xdr:rowOff>
    </xdr:to>
    <xdr:graphicFrame macro="">
      <xdr:nvGraphicFramePr>
        <xdr:cNvPr id="12" name="Chart 11">
          <a:hlinkClick xmlns:r="http://schemas.openxmlformats.org/officeDocument/2006/relationships" r:id="rId6"/>
          <a:extLst>
            <a:ext uri="{FF2B5EF4-FFF2-40B4-BE49-F238E27FC236}">
              <a16:creationId xmlns:a16="http://schemas.microsoft.com/office/drawing/2014/main" id="{40D4DCE9-881A-4850-B091-168893B9C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95249</xdr:colOff>
      <xdr:row>10</xdr:row>
      <xdr:rowOff>153961</xdr:rowOff>
    </xdr:from>
    <xdr:to>
      <xdr:col>9</xdr:col>
      <xdr:colOff>390525</xdr:colOff>
      <xdr:row>14</xdr:row>
      <xdr:rowOff>123824</xdr:rowOff>
    </xdr:to>
    <xdr:pic>
      <xdr:nvPicPr>
        <xdr:cNvPr id="37" name="Picture 36">
          <a:extLst>
            <a:ext uri="{FF2B5EF4-FFF2-40B4-BE49-F238E27FC236}">
              <a16:creationId xmlns:a16="http://schemas.microsoft.com/office/drawing/2014/main" id="{E639E100-48E0-9A11-9B54-6872550805F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14449" y="2058961"/>
          <a:ext cx="4562476" cy="731863"/>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514349</xdr:colOff>
      <xdr:row>15</xdr:row>
      <xdr:rowOff>0</xdr:rowOff>
    </xdr:from>
    <xdr:to>
      <xdr:col>9</xdr:col>
      <xdr:colOff>371475</xdr:colOff>
      <xdr:row>21</xdr:row>
      <xdr:rowOff>47624</xdr:rowOff>
    </xdr:to>
    <xdr:graphicFrame macro="">
      <xdr:nvGraphicFramePr>
        <xdr:cNvPr id="38" name="Chart 37">
          <a:extLst>
            <a:ext uri="{FF2B5EF4-FFF2-40B4-BE49-F238E27FC236}">
              <a16:creationId xmlns:a16="http://schemas.microsoft.com/office/drawing/2014/main" id="{B8EB00A5-4299-414C-867E-ABE7E4575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400050</xdr:colOff>
      <xdr:row>1</xdr:row>
      <xdr:rowOff>38100</xdr:rowOff>
    </xdr:from>
    <xdr:to>
      <xdr:col>12</xdr:col>
      <xdr:colOff>447676</xdr:colOff>
      <xdr:row>9</xdr:row>
      <xdr:rowOff>152400</xdr:rowOff>
    </xdr:to>
    <xdr:graphicFrame macro="">
      <xdr:nvGraphicFramePr>
        <xdr:cNvPr id="39" name="Chart 38">
          <a:extLst>
            <a:ext uri="{FF2B5EF4-FFF2-40B4-BE49-F238E27FC236}">
              <a16:creationId xmlns:a16="http://schemas.microsoft.com/office/drawing/2014/main" id="{48972CDE-E252-4A93-80E5-8C55D38E3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9</xdr:col>
      <xdr:colOff>523875</xdr:colOff>
      <xdr:row>10</xdr:row>
      <xdr:rowOff>161926</xdr:rowOff>
    </xdr:from>
    <xdr:to>
      <xdr:col>15</xdr:col>
      <xdr:colOff>523875</xdr:colOff>
      <xdr:row>21</xdr:row>
      <xdr:rowOff>66676</xdr:rowOff>
    </xdr:to>
    <xdr:sp macro="" textlink="">
      <xdr:nvSpPr>
        <xdr:cNvPr id="40" name="Rectangle: Rounded Corners 39">
          <a:extLst>
            <a:ext uri="{FF2B5EF4-FFF2-40B4-BE49-F238E27FC236}">
              <a16:creationId xmlns:a16="http://schemas.microsoft.com/office/drawing/2014/main" id="{5F637114-80B1-4268-915B-75DBEDB94905}"/>
            </a:ext>
          </a:extLst>
        </xdr:cNvPr>
        <xdr:cNvSpPr/>
      </xdr:nvSpPr>
      <xdr:spPr>
        <a:xfrm>
          <a:off x="6010275" y="2066926"/>
          <a:ext cx="3657600" cy="2000250"/>
        </a:xfrm>
        <a:prstGeom prst="round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276225</xdr:colOff>
      <xdr:row>0</xdr:row>
      <xdr:rowOff>180975</xdr:rowOff>
    </xdr:from>
    <xdr:to>
      <xdr:col>15</xdr:col>
      <xdr:colOff>571501</xdr:colOff>
      <xdr:row>9</xdr:row>
      <xdr:rowOff>38100</xdr:rowOff>
    </xdr:to>
    <xdr:graphicFrame macro="">
      <xdr:nvGraphicFramePr>
        <xdr:cNvPr id="41" name="Chart 40">
          <a:extLst>
            <a:ext uri="{FF2B5EF4-FFF2-40B4-BE49-F238E27FC236}">
              <a16:creationId xmlns:a16="http://schemas.microsoft.com/office/drawing/2014/main" id="{AF15C1FF-F6D4-411F-8233-F81248D32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457201</xdr:colOff>
      <xdr:row>10</xdr:row>
      <xdr:rowOff>161925</xdr:rowOff>
    </xdr:from>
    <xdr:to>
      <xdr:col>14</xdr:col>
      <xdr:colOff>457200</xdr:colOff>
      <xdr:row>21</xdr:row>
      <xdr:rowOff>33337</xdr:rowOff>
    </xdr:to>
    <xdr:graphicFrame macro="">
      <xdr:nvGraphicFramePr>
        <xdr:cNvPr id="43" name="Chart 42">
          <a:extLst>
            <a:ext uri="{FF2B5EF4-FFF2-40B4-BE49-F238E27FC236}">
              <a16:creationId xmlns:a16="http://schemas.microsoft.com/office/drawing/2014/main" id="{CE5CD467-BCF4-445F-8EC7-419008080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6</xdr:col>
      <xdr:colOff>190499</xdr:colOff>
      <xdr:row>1</xdr:row>
      <xdr:rowOff>47625</xdr:rowOff>
    </xdr:from>
    <xdr:to>
      <xdr:col>9</xdr:col>
      <xdr:colOff>352424</xdr:colOff>
      <xdr:row>4</xdr:row>
      <xdr:rowOff>66674</xdr:rowOff>
    </xdr:to>
    <mc:AlternateContent xmlns:mc="http://schemas.openxmlformats.org/markup-compatibility/2006">
      <mc:Choice xmlns:a14="http://schemas.microsoft.com/office/drawing/2010/main" Requires="a14">
        <xdr:graphicFrame macro="">
          <xdr:nvGraphicFramePr>
            <xdr:cNvPr id="44" name="Column1 (Year)">
              <a:extLst>
                <a:ext uri="{FF2B5EF4-FFF2-40B4-BE49-F238E27FC236}">
                  <a16:creationId xmlns:a16="http://schemas.microsoft.com/office/drawing/2014/main" id="{0974E67B-3A31-474A-A10A-A91B7E80E631}"/>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dr:sp macro="" textlink="">
          <xdr:nvSpPr>
            <xdr:cNvPr id="0" name=""/>
            <xdr:cNvSpPr>
              <a:spLocks noTextEdit="1"/>
            </xdr:cNvSpPr>
          </xdr:nvSpPr>
          <xdr:spPr>
            <a:xfrm>
              <a:off x="3848099" y="238125"/>
              <a:ext cx="1990725" cy="590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552450</xdr:colOff>
      <xdr:row>16</xdr:row>
      <xdr:rowOff>95250</xdr:rowOff>
    </xdr:to>
    <xdr:graphicFrame macro="">
      <xdr:nvGraphicFramePr>
        <xdr:cNvPr id="2" name="Chart 1">
          <a:extLst>
            <a:ext uri="{FF2B5EF4-FFF2-40B4-BE49-F238E27FC236}">
              <a16:creationId xmlns:a16="http://schemas.microsoft.com/office/drawing/2014/main" id="{21744E89-853C-4F3E-B50D-AE0BCABF1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0.10291</cdr:x>
      <cdr:y>0.23333</cdr:y>
    </cdr:to>
    <cdr:pic>
      <cdr:nvPicPr>
        <cdr:cNvPr id="3" name="Graphic 2"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13CAB12-08A6-E7FF-2331-7DAD8516086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809625" cy="73342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9525</xdr:colOff>
      <xdr:row>0</xdr:row>
      <xdr:rowOff>38100</xdr:rowOff>
    </xdr:from>
    <xdr:to>
      <xdr:col>15</xdr:col>
      <xdr:colOff>361949</xdr:colOff>
      <xdr:row>21</xdr:row>
      <xdr:rowOff>85724</xdr:rowOff>
    </xdr:to>
    <xdr:graphicFrame macro="">
      <xdr:nvGraphicFramePr>
        <xdr:cNvPr id="2" name="Chart 1">
          <a:extLst>
            <a:ext uri="{FF2B5EF4-FFF2-40B4-BE49-F238E27FC236}">
              <a16:creationId xmlns:a16="http://schemas.microsoft.com/office/drawing/2014/main" id="{629A441C-1660-46DD-BD6A-54B31A357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0.03343</cdr:x>
      <cdr:y>0.00078</cdr:y>
    </cdr:from>
    <cdr:to>
      <cdr:x>0.11869</cdr:x>
      <cdr:y>0.18196</cdr:y>
    </cdr:to>
    <cdr:pic>
      <cdr:nvPicPr>
        <cdr:cNvPr id="2" name="Graphic 1"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38C3B41-A38E-FBEA-A1CD-FE8A33A01A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17500" y="3175"/>
          <a:ext cx="809660" cy="73341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190499</xdr:rowOff>
    </xdr:from>
    <xdr:to>
      <xdr:col>16</xdr:col>
      <xdr:colOff>247650</xdr:colOff>
      <xdr:row>20</xdr:row>
      <xdr:rowOff>95250</xdr:rowOff>
    </xdr:to>
    <xdr:graphicFrame macro="">
      <xdr:nvGraphicFramePr>
        <xdr:cNvPr id="2" name="Chart 1">
          <a:extLst>
            <a:ext uri="{FF2B5EF4-FFF2-40B4-BE49-F238E27FC236}">
              <a16:creationId xmlns:a16="http://schemas.microsoft.com/office/drawing/2014/main" id="{F9B81D2D-5D32-49EF-B065-570EE1162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0.00716</cdr:x>
      <cdr:y>0.01528</cdr:y>
    </cdr:from>
    <cdr:to>
      <cdr:x>0.12126</cdr:x>
      <cdr:y>0.23591</cdr:y>
    </cdr:to>
    <cdr:pic>
      <cdr:nvPicPr>
        <cdr:cNvPr id="2" name="Graphic 1" descr="Hous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116EE85-3007-BE64-F5CF-B320742CA9C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809660" cy="73341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8</xdr:row>
      <xdr:rowOff>42863</xdr:rowOff>
    </xdr:to>
    <xdr:graphicFrame macro="">
      <xdr:nvGraphicFramePr>
        <xdr:cNvPr id="2" name="Chart 1">
          <a:extLst>
            <a:ext uri="{FF2B5EF4-FFF2-40B4-BE49-F238E27FC236}">
              <a16:creationId xmlns:a16="http://schemas.microsoft.com/office/drawing/2014/main" id="{1B3229EA-EA5B-4AB0-95B5-7E4D1CC6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68518522" createdVersion="5" refreshedVersion="8" minRefreshableVersion="3" recordCount="0" supportSubquery="1" supportAdvancedDrill="1" xr:uid="{485BC871-5344-45FE-9CC5-E1986718C6B8}">
  <cacheSource type="external" connectionId="3"/>
  <cacheFields count="4">
    <cacheField name="[Measures].[Distinct Count of Patient Id]" caption="Distinct Count of Patient Id" numFmtId="0" hierarchy="25" level="32767"/>
    <cacheField name="[Calender].[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2"/>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1"/>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68865738" createdVersion="5" refreshedVersion="8" minRefreshableVersion="3" recordCount="0" supportSubquery="1" supportAdvancedDrill="1" xr:uid="{8D5F6B12-E05C-46E3-863E-AA282571BBF6}">
  <cacheSource type="external" connectionId="3"/>
  <cacheFields count="3">
    <cacheField name="[Measures].[Distinct Count of Patient Id]" caption="Distinct Count of Patient Id" numFmtId="0" hierarchy="25"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69097222" createdVersion="5" refreshedVersion="8" minRefreshableVersion="3" recordCount="0" supportSubquery="1" supportAdvancedDrill="1" xr:uid="{54E2BFD7-3FF7-4622-A764-3DDDA6B95C73}">
  <cacheSource type="external" connectionId="3"/>
  <cacheFields count="3">
    <cacheField name="[Measures].[Average of Patient Waittime]" caption="Average of Patient Waittime" numFmtId="0" hierarchy="27"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69212961" createdVersion="5" refreshedVersion="8" minRefreshableVersion="3" recordCount="0" supportSubquery="1" supportAdvancedDrill="1" xr:uid="{8FFE34FA-3AF5-472C-98E7-E54158EC5493}">
  <cacheSource type="external" connectionId="3"/>
  <cacheFields count="3">
    <cacheField name="[Measures].[Average of Patient Satisfaction Score]" caption="Average of Patient Satisfaction Score" numFmtId="0" hierarchy="29" level="32767"/>
    <cacheField name="[Calender].[Column1 (Month)].[Column1 (Month)]" caption="Column1 (Month)" numFmtId="0" hierarchy="1" level="1">
      <sharedItems containsSemiMixedTypes="0" containsNonDate="0" containsString="0"/>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2"/>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69791669" createdVersion="5" refreshedVersion="8" minRefreshableVersion="3" recordCount="0" supportSubquery="1" supportAdvancedDrill="1" xr:uid="{50FA81E8-3D1F-43AB-B116-D3025D1A128C}">
  <cacheSource type="external" connectionId="3"/>
  <cacheFields count="4">
    <cacheField name="[Calender].[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Column1 (Month)].[Column1 (Month)]" caption="Column1 (Month)" numFmtId="0" hierarchy="1" level="1">
      <sharedItems containsSemiMixedTypes="0" containsNonDate="0" containsString="0"/>
    </cacheField>
    <cacheField name="[Measures].[Average of Patient Waittime]" caption="Average of Patient Waittime" numFmtId="0" hierarchy="27" level="32767"/>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0"/>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0370369" createdVersion="5" refreshedVersion="8" minRefreshableVersion="3" recordCount="0" supportSubquery="1" supportAdvancedDrill="1" xr:uid="{DC498049-1C9C-4667-B6C8-7FFBFADF4674}">
  <cacheSource type="external" connectionId="3"/>
  <cacheFields count="4">
    <cacheField name="[Calender].[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9" level="32767"/>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Calender].[Column1 (Day)]" caption="Column1 (Day)" attribute="1" defaultMemberUniqueName="[Calender].[Column1 (Day)].[All]" allUniqueName="[Calender].[Column1 (Day)].[All]" dimensionUniqueName="[Calender]" displayFolder="" count="2" memberValueDatatype="130" unbalanced="0">
      <fieldsUsage count="2">
        <fieldUsage x="-1"/>
        <fieldUsage x="0"/>
      </fieldsUsage>
    </cacheHierarchy>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0949077" createdVersion="5" refreshedVersion="8" minRefreshableVersion="3" recordCount="0" supportSubquery="1" supportAdvancedDrill="1" xr:uid="{C088D7D6-6AD5-42A7-92CE-75735C94C727}">
  <cacheSource type="external" connectionId="3"/>
  <cacheFields count="5">
    <cacheField name="[Calender].[Column1 (Month)].[Column1 (Month)]" caption="Column1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dmited"/>
        <s v="Not Admited"/>
      </sharedItems>
    </cacheField>
    <cacheField name="[Measures].[Count of Patient Admission Flag]" caption="Count of Patient Admission Flag" numFmtId="0" hierarchy="30" level="32767"/>
    <cacheField name="[Calender].[Column1 (Year)].[Column1 (Year)]" caption="Column1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1296293" createdVersion="5" refreshedVersion="8" minRefreshableVersion="3" recordCount="0" supportSubquery="1" supportAdvancedDrill="1" xr:uid="{8F13A2F0-5455-44CB-B84D-990F990F141B}">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1" level="32767"/>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1643516" createdVersion="5" refreshedVersion="8" minRefreshableVersion="3" recordCount="0" supportSubquery="1" supportAdvancedDrill="1" xr:uid="{E30402B0-90EC-422C-9337-741127B6ADC1}">
  <cacheSource type="external" connectionId="3"/>
  <cacheFields count="4">
    <cacheField name="[Calender].[Column1 (Month)].[Column1 (Month)]" caption="Column1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2106478" createdVersion="5" refreshedVersion="8" minRefreshableVersion="3" recordCount="0" supportSubquery="1" supportAdvancedDrill="1" xr:uid="{662A78BC-8E1F-4BEA-BCFD-7EB0FA4C38FB}">
  <cacheSource type="external" connectionId="3"/>
  <cacheFields count="4">
    <cacheField name="[Calender].[Column1 (Month)].[Column1 (Month)]" caption="Column1 (Month)" numFmtId="0" hierarchy="1" level="1">
      <sharedItems containsSemiMixedTypes="0" containsNonDate="0" containsString="0"/>
    </cacheField>
    <cacheField name="[Measures].[Count of Patient Gender]" caption="Count of Patient Gender" numFmtId="0" hierarchy="33" level="32767"/>
    <cacheField name="[Hospital Emergency Room Data].[Patient Gender].[Patient Gender]" caption="Patient Gender" numFmtId="0" hierarchy="10" level="1">
      <sharedItems count="2">
        <s v="Female"/>
        <s v="Male"/>
      </sharedItems>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2569447" createdVersion="5" refreshedVersion="8" minRefreshableVersion="3" recordCount="0" supportSubquery="1" supportAdvancedDrill="1" xr:uid="{FC12B1E3-3655-4129-8DA5-C3332FDB0C1B}">
  <cacheSource type="external" connectionId="3"/>
  <cacheFields count="4">
    <cacheField name="[Calender].[Column1 (Month)].[Column1 (Month)]" caption="Column1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Calender].[Column1 (Year)].[Column1 (Year)]" caption="Column1 (Year)" numFmtId="0" hierarchy="3" level="1">
      <sharedItems containsSemiMixedTypes="0" containsNonDate="0" containsString="0"/>
    </cacheField>
  </cacheFields>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3"/>
      </fieldsUsage>
    </cacheHierarchy>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5873032409" createdVersion="5" refreshedVersion="8" minRefreshableVersion="3" recordCount="0" supportSubquery="1" supportAdvancedDrill="1" xr:uid="{BBD16334-A376-45EF-8BC9-1D4878CE74F8}">
  <cacheSource type="external" connectionId="3"/>
  <cacheFields count="5">
    <cacheField name="[Calender].[Column1 (Month)].[Column1 (Month)]" caption="Column1 (Month)" numFmtId="0" hierarchy="1" level="1">
      <sharedItems count="1">
        <s v="Jan"/>
      </sharedItems>
    </cacheField>
    <cacheField name="[Measures].[Count of Column1]" caption="Count of Column1" numFmtId="0" hierarchy="35" level="32767"/>
    <cacheField name="[Calender].[Column1].[Column1]" caption="Column1"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Column1 (Quarter)].[Column1 (Quarter)]" caption="Column1 (Quarter)" numFmtId="0" hierarchy="4" level="1">
      <sharedItems count="1">
        <s v="Qtr1"/>
      </sharedItems>
    </cacheField>
    <cacheField name="[Calender].[Column1 (Year)].[Column1 (Year)]" caption="Column1 (Year)" numFmtId="0" hierarchy="3" level="1">
      <sharedItems count="1">
        <s v="2024"/>
      </sharedItems>
    </cacheField>
  </cacheFields>
  <cacheHierarchies count="36">
    <cacheHierarchy uniqueName="[Calender].[Column1]" caption="Column1" attribute="1" time="1" defaultMemberUniqueName="[Calender].[Column1].[All]" allUniqueName="[Calender].[Column1].[All]" dimensionUniqueName="[Calender]" displayFolder="" count="2" memberValueDatatype="7" unbalanced="0">
      <fieldsUsage count="2">
        <fieldUsage x="-1"/>
        <fieldUsage x="2"/>
      </fieldsUsage>
    </cacheHierarchy>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0"/>
      </fieldsUsage>
    </cacheHierarchy>
    <cacheHierarchy uniqueName="[Calender].[Column1 (Day)]" caption="Column1 (Day)" attribute="1" defaultMemberUniqueName="[Calender].[Column1 (Day)].[All]" allUniqueName="[Calender].[Column1 (Day)].[All]" dimensionUniqueName="[Calender]" displayFolder="" count="2"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fieldsUsage count="2">
        <fieldUsage x="-1"/>
        <fieldUsage x="4"/>
      </fieldsUsage>
    </cacheHierarchy>
    <cacheHierarchy uniqueName="[Calender].[Column1 (Quarter)]" caption="Column1 (Quarter)" attribute="1" defaultMemberUniqueName="[Calender].[Column1 (Quarter)].[All]" allUniqueName="[Calender].[Column1 (Quarter)].[All]" dimensionUniqueName="[Calender]"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2"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Column1 (Day Index)]" caption="Column1 (Day Index)" attribute="1" defaultMemberUniqueName="[Calender].[Column1 (Day Index)].[All]" allUniqueName="[Calender].[Column1 (Day Index)].[All]" dimensionUniqueName="[Calender]" displayFolder="" count="2" memberValueDatatype="5" unbalanced="0" hidden="1"/>
    <cacheHierarchy uniqueName="[Calender].[Column1 (Month Index)]" caption="Column1 (Month Index)" attribute="1" defaultMemberUniqueName="[Calender].[Column1 (Month Index)].[All]" allUniqueName="[Calender].[Column1 (Month Index)].[All]" dimensionUniqueName="[Calender]"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alender" uniqueName="[Calender]" caption="Calender"/>
    <dimension name="Hospital Emergency Room Data" uniqueName="[Hospital Emergency Room Data]" caption="Hospital Emergency Room Data"/>
    <dimension measure="1" name="Measures" uniqueName="[Measures]" caption="Measures"/>
  </dimensions>
  <measureGroups count="2">
    <measureGroup name="Calender" caption="Calender"/>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18.683605092592" createdVersion="3" refreshedVersion="8" minRefreshableVersion="3" recordCount="0" supportSubquery="1" supportAdvancedDrill="1" xr:uid="{D8A8F455-B063-4098-8C75-CCDB7DD65535}">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Column1]" caption="Column1" attribute="1" time="1" defaultMemberUniqueName="[Calender].[Column1].[All]" allUniqueName="[Calender].[Column1].[All]" dimensionUniqueName="[Calender]" displayFolder="" count="0" memberValueDatatype="7" unbalanced="0"/>
    <cacheHierarchy uniqueName="[Calender].[Column1 (Month)]" caption="Column1 (Month)" attribute="1" defaultMemberUniqueName="[Calender].[Column1 (Month)].[All]" allUniqueName="[Calender].[Column1 (Month)].[All]" dimensionUniqueName="[Calender]" displayFolder="" count="2" memberValueDatatype="130" unbalanced="0"/>
    <cacheHierarchy uniqueName="[Calender].[Column1 (Day)]" caption="Column1 (Day)" attribute="1" defaultMemberUniqueName="[Calender].[Column1 (Day)].[All]" allUniqueName="[Calender].[Column1 (Day)].[All]" dimensionUniqueName="[Calender]" displayFolder="" count="0" memberValueDatatype="130" unbalanced="0"/>
    <cacheHierarchy uniqueName="[Calender].[Column1 (Year)]" caption="Column1 (Year)" attribute="1" defaultMemberUniqueName="[Calender].[Column1 (Year)].[All]" allUniqueName="[Calender].[Column1 (Year)].[All]" dimensionUniqueName="[Calender]" displayFolder="" count="2"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First Inital]" caption="Patient First Inital" attribute="1" defaultMemberUniqueName="[Hospital Emergency Room Data].[Patient First Inital].[All]" allUniqueName="[Hospital Emergency Room Data].[Patient First Inital].[All]" dimensionUniqueName="[Hospital Emergency Room Data]" displayFolder="" count="0" memberValueDatatype="130" unbalanced="0"/>
    <cacheHierarchy uniqueName="[Hospital Emergency Room Data].[Patient Last Name]" caption="Patient Last Name" attribute="1" defaultMemberUniqueName="[Hospital Emergency Room Data].[Patient Last Name].[All]" allUniqueName="[Hospital Emergency Room Data].[Patient Las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Column1 (Day Index)]" caption="Column1 (Day Index)" attribute="1" defaultMemberUniqueName="[Calender].[Column1 (Day Index)].[All]" allUniqueName="[Calender].[Column1 (Day Index)].[All]" dimensionUniqueName="[Calender]" displayFolder="" count="0" memberValueDatatype="5" unbalanced="0" hidden="1"/>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Column1]" caption="Count of Column1" measure="1" displayFolder="" measureGroup="Calend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2263265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83A8B-F7D3-452D-8645-A4ED9550886E}" name="PivotTable12" cacheId="1057"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29">
  <location ref="A94:B96" firstHeaderRow="1" firstDataRow="1" firstDataCol="1"/>
  <pivotFields count="5">
    <pivotField axis="axisRow" allDrilled="1" subtotalTop="0" showAll="0" dataSourceSort="1" defaultSubtotal="0">
      <items count="1">
        <item x="0" e="0"/>
      </items>
    </pivotField>
    <pivotField dataField="1" subtotalTop="0" showAll="0" defaultSubtotal="0"/>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colItems count="1">
    <i/>
  </colItems>
  <dataFields count="1">
    <dataField name="Count of Column1" fld="1" subtotal="count" baseField="0" baseItem="0"/>
  </dataFields>
  <formats count="2">
    <format dxfId="268">
      <pivotArea outline="0" collapsedLevelsAreSubtotals="1" fieldPosition="0"/>
    </format>
    <format dxfId="269">
      <pivotArea outline="0" collapsedLevelsAreSubtotals="1" fieldPosition="0"/>
    </format>
  </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F49D3-24F4-43CE-9AC0-8A71A254F597}" name="PivotTable11" cacheId="1054"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29">
  <location ref="A82:B91"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v="6"/>
    </i>
    <i>
      <x/>
    </i>
    <i>
      <x v="5"/>
    </i>
    <i>
      <x v="2"/>
    </i>
    <i>
      <x v="4"/>
    </i>
    <i t="grand">
      <x/>
    </i>
  </rowItems>
  <colItems count="1">
    <i/>
  </colItems>
  <dataFields count="1">
    <dataField name="Count of Department Referral" fld="1" subtotal="count" baseField="0" baseItem="0"/>
  </dataFields>
  <formats count="2">
    <format dxfId="394">
      <pivotArea outline="0" collapsedLevelsAreSubtotals="1" fieldPosition="0"/>
    </format>
    <format dxfId="395">
      <pivotArea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F2BB5-BF7D-48C0-A46B-8D4C90960F20}" name="PivotTable10" cacheId="1051"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25">
  <location ref="A76:B7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2">
    <format dxfId="396">
      <pivotArea outline="0" collapsedLevelsAreSubtotals="1" fieldPosition="0"/>
    </format>
    <format dxfId="397">
      <pivotArea outline="0" collapsedLevelsAreSubtotals="1"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2" count="1" selected="0">
            <x v="0"/>
          </reference>
        </references>
      </pivotArea>
    </chartFormat>
    <chartFormat chart="24"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8C06AF-F340-4629-AC3B-7963137E3A67}" name="PivotTable9" cacheId="1048"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21">
  <location ref="A70:B7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98">
      <pivotArea outline="0" collapsedLevelsAreSubtotals="1" fieldPosition="0"/>
    </format>
    <format dxfId="399">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CBC370-9D6C-4018-ADB1-BF0BF85276DC}" name="PivotTable8" cacheId="1045"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16">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2">
    <format dxfId="401">
      <pivotArea outline="0" collapsedLevelsAreSubtotals="1" fieldPosition="0"/>
    </format>
    <format dxfId="400">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66388B-14A1-4535-8299-30C7831EC7A1}" name="PivotTable7" cacheId="1042"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chartFormat="12">
  <location ref="A44:C4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403">
      <pivotArea outline="0" collapsedLevelsAreSubtotals="1" fieldPosition="0"/>
    </format>
    <format dxfId="404">
      <pivotArea outline="0" collapsedLevelsAreSubtotals="1" fieldPosition="0"/>
    </format>
    <format dxfId="402">
      <pivotArea outline="0" fieldPosition="0">
        <references count="1">
          <reference field="4294967294" count="1">
            <x v="1"/>
          </reference>
        </references>
      </pivotArea>
    </format>
  </formats>
  <chartFormats count="8">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 count="1" selected="0">
            <x v="0"/>
          </reference>
        </references>
      </pivotArea>
    </chartFormat>
    <chartFormat chart="5" format="18">
      <pivotArea type="data" outline="0" fieldPosition="0">
        <references count="2">
          <reference field="4294967294" count="1" selected="0">
            <x v="0"/>
          </reference>
          <reference field="1" count="1" selected="0">
            <x v="1"/>
          </reference>
        </references>
      </pivotArea>
    </chartFormat>
    <chartFormat chart="5" format="19"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86CD6A-F83B-47F2-960E-736BA99C6A41}" name="PivotTable6" cacheId="1039" applyNumberFormats="0" applyBorderFormats="0" applyFontFormats="0" applyPatternFormats="0" applyAlignmentFormats="0" applyWidthHeightFormats="1" dataCaption="Values" tag="c5907494-154b-46d6-90d8-fc836bcbae0b" updatedVersion="8" minRefreshableVersion="3" subtotalHiddenItems="1" itemPrintTitles="1" createdVersion="5" indent="0" outline="1" outlineData="1" multipleFieldFilters="0" chartFormat="21">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405">
      <pivotArea outline="0" collapsedLevelsAreSubtotals="1" fieldPosition="0"/>
    </format>
    <format dxfId="406">
      <pivotArea outline="0" collapsedLevelsAreSubtotals="1" fieldPosition="0"/>
    </format>
    <format dxfId="407">
      <pivotArea dataOnly="0" labelOnly="1" outline="0" axis="axisValues" fieldPosition="0"/>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3D445F-CE1B-4F59-9C2C-21BF504AC008}" name="PivotTable1" cacheId="1027" applyNumberFormats="0" applyBorderFormats="0" applyFontFormats="0" applyPatternFormats="0" applyAlignmentFormats="0" applyWidthHeightFormats="1" dataCaption="Values" tag="c5907494-154b-46d6-90d8-fc836bcbae0b"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408">
      <pivotArea outline="0" collapsedLevelsAreSubtotals="1" fieldPosition="0"/>
    </format>
  </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FC7A48-9618-4FEF-9376-F7290F8CDF05}" name="PivotTable5" cacheId="1036" applyNumberFormats="0" applyBorderFormats="0" applyFontFormats="0" applyPatternFormats="0" applyAlignmentFormats="0" applyWidthHeightFormats="1" dataCaption="Values" tag="c5907494-154b-46d6-90d8-fc836bcbae0b" updatedVersion="8" minRefreshableVersion="3" subtotalHiddenItems="1" itemPrintTitles="1" createdVersion="5" indent="0" outline="1" outlineData="1" multipleFieldFilters="0" chartFormat="16">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2" numFmtId="2"/>
  </dataFields>
  <formats count="3">
    <format dxfId="411">
      <pivotArea outline="0" collapsedLevelsAreSubtotals="1" fieldPosition="0"/>
    </format>
    <format dxfId="410">
      <pivotArea outline="0" collapsedLevelsAreSubtotals="1" fieldPosition="0"/>
    </format>
    <format dxfId="409">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268322-EE77-4AC1-BC1F-5606AA8DA89E}" name="PivotTable4" cacheId="1024" applyNumberFormats="0" applyBorderFormats="0" applyFontFormats="0" applyPatternFormats="0" applyAlignmentFormats="0" applyWidthHeightFormats="1" dataCaption="Values" tag="c5907494-154b-46d6-90d8-fc836bcbae0b" updatedVersion="8" minRefreshableVersion="3" subtotalHiddenItems="1" itemPrintTitles="1" createdVersion="5" indent="0" outline="1" outlineData="1" multipleFieldFilters="0" chartFormat="9">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412">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7B796D-4630-4127-9294-AEDAB33C2E1D}" name="PivotTable3" cacheId="1033" applyNumberFormats="0" applyBorderFormats="0" applyFontFormats="0" applyPatternFormats="0" applyAlignmentFormats="0" applyWidthHeightFormats="1" dataCaption="Values" tag="8c29a0c3-e25e-47e9-9dab-5daa24e49f6d"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414">
      <pivotArea outline="0" collapsedLevelsAreSubtotals="1" fieldPosition="0"/>
    </format>
    <format dxfId="413">
      <pivotArea outline="0" collapsedLevelsAreSubtotals="1" fieldPosition="0"/>
    </format>
  </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2E56CC-731C-4284-81DC-BE6FFE54B48A}" name="PivotTable2" cacheId="1030" applyNumberFormats="0" applyBorderFormats="0" applyFontFormats="0" applyPatternFormats="0" applyAlignmentFormats="0" applyWidthHeightFormats="1" dataCaption="Values" tag="03a2e0d5-417b-4495-b8f7-2d9e0b107324"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416">
      <pivotArea outline="0" collapsedLevelsAreSubtotals="1" fieldPosition="0"/>
    </format>
    <format dxfId="415">
      <pivotArea outline="0" collapsedLevelsAreSubtotals="1" fieldPosition="0"/>
    </format>
  </formats>
  <pivotHierarchies count="36">
    <pivotHierarchy dragToData="1"/>
    <pivotHierarchy multipleItemSelectionAllowed="1" dragToData="1">
      <members count="1" level="1">
        <member name="[Calender].[Column1 (Month)].&amp;[Mar]"/>
      </members>
    </pivotHierarchy>
    <pivotHierarchy dragToData="1"/>
    <pivotHierarchy multipleItemSelectionAllowed="1" dragToData="1">
      <members count="1" level="1">
        <member name="[Calender].[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140F4B43-752D-4937-8BBA-CA422C2D96BF}" sourceName="[Calender].[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226326560">
      <levels count="2">
        <level uniqueName="[Calender].[Column1 (Month)].[(All)]" sourceCaption="(All)" count="0"/>
        <level uniqueName="[Calender].[Column1 (Month)].[Column1 (Month)]" sourceCaption="Column1 (Month)" count="12">
          <ranges>
            <range startItem="0">
              <i n="[Calender].[Column1 (Month)].&amp;[Jan]" c="Jan"/>
              <i n="[Calender].[Column1 (Month)].&amp;[Feb]" c="Feb"/>
              <i n="[Calender].[Column1 (Month)].&amp;[Mar]" c="Mar"/>
              <i n="[Calender].[Column1 (Month)].&amp;[Apr]" c="Apr"/>
              <i n="[Calender].[Column1 (Month)].&amp;[May]" c="May"/>
              <i n="[Calender].[Column1 (Month)].&amp;[Jun]" c="Jun"/>
              <i n="[Calender].[Column1 (Month)].&amp;[Jul]" c="Jul"/>
              <i n="[Calender].[Column1 (Month)].&amp;[Aug]" c="Aug"/>
              <i n="[Calender].[Column1 (Month)].&amp;[Sep]" c="Sep"/>
              <i n="[Calender].[Column1 (Month)].&amp;[Oct]" c="Oct"/>
              <i n="[Calender].[Column1 (Month)].&amp;[Nov]" c="Nov"/>
              <i n="[Calender].[Column1 (Month)].&amp;[Dec]" c="Dec"/>
            </range>
          </ranges>
        </level>
      </levels>
      <selections count="1">
        <selection n="[Calender].[Column1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9DDF5B71-D79B-47E5-82AF-95D3C5752316}" sourceName="[Calender].[Column1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26326560">
      <levels count="2">
        <level uniqueName="[Calender].[Column1 (Year)].[(All)]" sourceCaption="(All)" count="0"/>
        <level uniqueName="[Calender].[Column1 (Year)].[Column1 (Year)]" sourceCaption="Column1 (Year)" count="2">
          <ranges>
            <range startItem="0">
              <i n="[Calender].[Column1 (Year)].&amp;[2023]" c="2023"/>
              <i n="[Calender].[Column1 (Year)].&amp;[2024]" c="2024"/>
            </range>
          </ranges>
        </level>
      </levels>
      <selections count="1">
        <selection n="[Calender].[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CC3CF76A-5250-4E45-8401-82E767192CD2}" cache="Slicer_Column1__Month" caption="Column1 (Month)" showCaption="0" level="1" style="my style" rowHeight="216000"/>
  <slicer name="Column1 (Year)" xr10:uid="{E77A184C-5E84-4FFA-B280-F9B2E446F34F}" cache="Slicer_Column1__Year" caption="Column1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C11A1-6291-46B5-98AE-B5FFCBC67E9F}">
  <dimension ref="A3:K96"/>
  <sheetViews>
    <sheetView topLeftCell="A82" workbookViewId="0">
      <selection activeCell="A94" sqref="A94:B103"/>
    </sheetView>
  </sheetViews>
  <sheetFormatPr defaultRowHeight="15" x14ac:dyDescent="0.25"/>
  <cols>
    <col min="1" max="1" width="16.5703125" customWidth="1"/>
    <col min="2" max="2" width="27.5703125" customWidth="1"/>
    <col min="3" max="3" width="10" customWidth="1"/>
    <col min="4" max="4" width="11.85546875" customWidth="1"/>
    <col min="5" max="5" width="10.7109375" customWidth="1"/>
    <col min="7" max="7" width="12.140625" customWidth="1"/>
    <col min="8" max="8" width="26.42578125" style="5" customWidth="1"/>
    <col min="10" max="10" width="17.140625" customWidth="1"/>
    <col min="11" max="11" width="28.140625" customWidth="1"/>
  </cols>
  <sheetData>
    <row r="3" spans="1:11" x14ac:dyDescent="0.25">
      <c r="A3" t="s">
        <v>1</v>
      </c>
      <c r="G3" t="s">
        <v>37</v>
      </c>
      <c r="J3" t="s">
        <v>38</v>
      </c>
    </row>
    <row r="4" spans="1:11" x14ac:dyDescent="0.25">
      <c r="A4" t="s">
        <v>0</v>
      </c>
      <c r="D4" s="3" t="s">
        <v>5</v>
      </c>
      <c r="E4" t="s">
        <v>0</v>
      </c>
      <c r="G4" s="3" t="s">
        <v>5</v>
      </c>
      <c r="H4" s="5" t="s">
        <v>2</v>
      </c>
      <c r="J4" s="3" t="s">
        <v>5</v>
      </c>
      <c r="K4" s="5" t="s">
        <v>3</v>
      </c>
    </row>
    <row r="5" spans="1:11" x14ac:dyDescent="0.25">
      <c r="A5" s="6">
        <v>506</v>
      </c>
      <c r="D5" s="4" t="s">
        <v>6</v>
      </c>
      <c r="E5" s="6">
        <v>19</v>
      </c>
      <c r="G5" s="4" t="s">
        <v>6</v>
      </c>
      <c r="H5" s="1">
        <v>34.526315789473685</v>
      </c>
      <c r="J5" s="4" t="s">
        <v>6</v>
      </c>
      <c r="K5" s="1">
        <v>7.2</v>
      </c>
    </row>
    <row r="6" spans="1:11" x14ac:dyDescent="0.25">
      <c r="D6" s="4" t="s">
        <v>7</v>
      </c>
      <c r="E6" s="6">
        <v>24</v>
      </c>
      <c r="G6" s="4" t="s">
        <v>7</v>
      </c>
      <c r="H6" s="1">
        <v>33.708333333333336</v>
      </c>
      <c r="J6" s="4" t="s">
        <v>7</v>
      </c>
      <c r="K6" s="1">
        <v>6</v>
      </c>
    </row>
    <row r="7" spans="1:11" x14ac:dyDescent="0.25">
      <c r="D7" s="4" t="s">
        <v>8</v>
      </c>
      <c r="E7" s="6">
        <v>24</v>
      </c>
      <c r="G7" s="4" t="s">
        <v>8</v>
      </c>
      <c r="H7" s="1">
        <v>36.291666666666664</v>
      </c>
      <c r="J7" s="4" t="s">
        <v>8</v>
      </c>
      <c r="K7" s="1">
        <v>1.5</v>
      </c>
    </row>
    <row r="8" spans="1:11" x14ac:dyDescent="0.25">
      <c r="A8" t="s">
        <v>2</v>
      </c>
      <c r="D8" s="4" t="s">
        <v>9</v>
      </c>
      <c r="E8" s="6">
        <v>14</v>
      </c>
      <c r="G8" s="4" t="s">
        <v>9</v>
      </c>
      <c r="H8" s="1">
        <v>35.071428571428569</v>
      </c>
      <c r="J8" s="4" t="s">
        <v>9</v>
      </c>
      <c r="K8" s="1">
        <v>2.75</v>
      </c>
    </row>
    <row r="9" spans="1:11" x14ac:dyDescent="0.25">
      <c r="A9" s="1">
        <v>35.879446640316203</v>
      </c>
      <c r="D9" s="4" t="s">
        <v>10</v>
      </c>
      <c r="E9" s="6">
        <v>14</v>
      </c>
      <c r="G9" s="4" t="s">
        <v>10</v>
      </c>
      <c r="H9" s="1">
        <v>31.571428571428573</v>
      </c>
      <c r="J9" s="4" t="s">
        <v>10</v>
      </c>
      <c r="K9" s="1">
        <v>5</v>
      </c>
    </row>
    <row r="10" spans="1:11" x14ac:dyDescent="0.25">
      <c r="D10" s="4" t="s">
        <v>11</v>
      </c>
      <c r="E10" s="6">
        <v>16</v>
      </c>
      <c r="G10" s="4" t="s">
        <v>11</v>
      </c>
      <c r="H10" s="1">
        <v>31.8125</v>
      </c>
      <c r="J10" s="4" t="s">
        <v>11</v>
      </c>
      <c r="K10" s="1">
        <v>5.5</v>
      </c>
    </row>
    <row r="11" spans="1:11" x14ac:dyDescent="0.25">
      <c r="A11" t="s">
        <v>3</v>
      </c>
      <c r="D11" s="4" t="s">
        <v>12</v>
      </c>
      <c r="E11" s="6">
        <v>26</v>
      </c>
      <c r="G11" s="4" t="s">
        <v>12</v>
      </c>
      <c r="H11" s="1">
        <v>36.846153846153847</v>
      </c>
      <c r="J11" s="4" t="s">
        <v>12</v>
      </c>
      <c r="K11" s="1">
        <v>5.0909090909090908</v>
      </c>
    </row>
    <row r="12" spans="1:11" x14ac:dyDescent="0.25">
      <c r="A12" s="1">
        <v>5.3277310924369745</v>
      </c>
      <c r="D12" s="4" t="s">
        <v>13</v>
      </c>
      <c r="E12" s="6">
        <v>14</v>
      </c>
      <c r="G12" s="4" t="s">
        <v>13</v>
      </c>
      <c r="H12" s="1">
        <v>34.071428571428569</v>
      </c>
      <c r="J12" s="4" t="s">
        <v>13</v>
      </c>
      <c r="K12" s="1">
        <v>7.666666666666667</v>
      </c>
    </row>
    <row r="13" spans="1:11" x14ac:dyDescent="0.25">
      <c r="D13" s="4" t="s">
        <v>14</v>
      </c>
      <c r="E13" s="6">
        <v>22</v>
      </c>
      <c r="G13" s="4" t="s">
        <v>14</v>
      </c>
      <c r="H13" s="1">
        <v>33</v>
      </c>
      <c r="J13" s="4" t="s">
        <v>14</v>
      </c>
      <c r="K13" s="1">
        <v>3.5</v>
      </c>
    </row>
    <row r="14" spans="1:11" x14ac:dyDescent="0.25">
      <c r="D14" s="4" t="s">
        <v>15</v>
      </c>
      <c r="E14" s="6">
        <v>18</v>
      </c>
      <c r="G14" s="4" t="s">
        <v>15</v>
      </c>
      <c r="H14" s="1">
        <v>40.222222222222221</v>
      </c>
      <c r="J14" s="4" t="s">
        <v>15</v>
      </c>
      <c r="K14" s="1">
        <v>3.6666666666666665</v>
      </c>
    </row>
    <row r="15" spans="1:11" x14ac:dyDescent="0.25">
      <c r="D15" s="4" t="s">
        <v>16</v>
      </c>
      <c r="E15" s="6">
        <v>20</v>
      </c>
      <c r="G15" s="4" t="s">
        <v>16</v>
      </c>
      <c r="H15" s="1">
        <v>42.05</v>
      </c>
      <c r="J15" s="4" t="s">
        <v>16</v>
      </c>
      <c r="K15" s="1">
        <v>3.8</v>
      </c>
    </row>
    <row r="16" spans="1:11" x14ac:dyDescent="0.25">
      <c r="D16" s="4" t="s">
        <v>17</v>
      </c>
      <c r="E16" s="6">
        <v>13</v>
      </c>
      <c r="G16" s="4" t="s">
        <v>17</v>
      </c>
      <c r="H16" s="1">
        <v>42.615384615384613</v>
      </c>
      <c r="J16" s="4" t="s">
        <v>17</v>
      </c>
      <c r="K16" s="1">
        <v>1</v>
      </c>
    </row>
    <row r="17" spans="4:11" x14ac:dyDescent="0.25">
      <c r="D17" s="4" t="s">
        <v>18</v>
      </c>
      <c r="E17" s="6">
        <v>13</v>
      </c>
      <c r="G17" s="4" t="s">
        <v>18</v>
      </c>
      <c r="H17" s="1">
        <v>40.46153846153846</v>
      </c>
      <c r="J17" s="4" t="s">
        <v>18</v>
      </c>
      <c r="K17" s="1">
        <v>7</v>
      </c>
    </row>
    <row r="18" spans="4:11" x14ac:dyDescent="0.25">
      <c r="D18" s="4" t="s">
        <v>19</v>
      </c>
      <c r="E18" s="6">
        <v>14</v>
      </c>
      <c r="G18" s="4" t="s">
        <v>19</v>
      </c>
      <c r="H18" s="1">
        <v>34.071428571428569</v>
      </c>
      <c r="J18" s="4" t="s">
        <v>19</v>
      </c>
      <c r="K18" s="1">
        <v>5</v>
      </c>
    </row>
    <row r="19" spans="4:11" x14ac:dyDescent="0.25">
      <c r="D19" s="4" t="s">
        <v>20</v>
      </c>
      <c r="E19" s="6">
        <v>13</v>
      </c>
      <c r="G19" s="4" t="s">
        <v>20</v>
      </c>
      <c r="H19" s="1">
        <v>33.92307692307692</v>
      </c>
      <c r="J19" s="4" t="s">
        <v>20</v>
      </c>
      <c r="K19" s="1">
        <v>4.25</v>
      </c>
    </row>
    <row r="20" spans="4:11" x14ac:dyDescent="0.25">
      <c r="D20" s="4" t="s">
        <v>21</v>
      </c>
      <c r="E20" s="6">
        <v>18</v>
      </c>
      <c r="G20" s="4" t="s">
        <v>21</v>
      </c>
      <c r="H20" s="1">
        <v>43.166666666666664</v>
      </c>
      <c r="J20" s="4" t="s">
        <v>21</v>
      </c>
      <c r="K20" s="1">
        <v>4</v>
      </c>
    </row>
    <row r="21" spans="4:11" x14ac:dyDescent="0.25">
      <c r="D21" s="4" t="s">
        <v>22</v>
      </c>
      <c r="E21" s="6">
        <v>12</v>
      </c>
      <c r="G21" s="4" t="s">
        <v>22</v>
      </c>
      <c r="H21" s="1">
        <v>42.25</v>
      </c>
      <c r="J21" s="4" t="s">
        <v>22</v>
      </c>
      <c r="K21" s="1">
        <v>7.333333333333333</v>
      </c>
    </row>
    <row r="22" spans="4:11" x14ac:dyDescent="0.25">
      <c r="D22" s="4" t="s">
        <v>23</v>
      </c>
      <c r="E22" s="6">
        <v>11</v>
      </c>
      <c r="G22" s="4" t="s">
        <v>23</v>
      </c>
      <c r="H22" s="1">
        <v>44.090909090909093</v>
      </c>
      <c r="J22" s="4" t="s">
        <v>23</v>
      </c>
      <c r="K22" s="1">
        <v>9</v>
      </c>
    </row>
    <row r="23" spans="4:11" x14ac:dyDescent="0.25">
      <c r="D23" s="4" t="s">
        <v>24</v>
      </c>
      <c r="E23" s="6">
        <v>14</v>
      </c>
      <c r="G23" s="4" t="s">
        <v>24</v>
      </c>
      <c r="H23" s="1">
        <v>39</v>
      </c>
      <c r="J23" s="4" t="s">
        <v>24</v>
      </c>
      <c r="K23" s="1">
        <v>5.25</v>
      </c>
    </row>
    <row r="24" spans="4:11" x14ac:dyDescent="0.25">
      <c r="D24" s="4" t="s">
        <v>25</v>
      </c>
      <c r="E24" s="6">
        <v>12</v>
      </c>
      <c r="G24" s="4" t="s">
        <v>25</v>
      </c>
      <c r="H24" s="1">
        <v>31.25</v>
      </c>
      <c r="J24" s="4" t="s">
        <v>25</v>
      </c>
      <c r="K24" s="1">
        <v>6.6</v>
      </c>
    </row>
    <row r="25" spans="4:11" x14ac:dyDescent="0.25">
      <c r="D25" s="4" t="s">
        <v>26</v>
      </c>
      <c r="E25" s="6">
        <v>16</v>
      </c>
      <c r="G25" s="4" t="s">
        <v>26</v>
      </c>
      <c r="H25" s="1">
        <v>28.5</v>
      </c>
      <c r="J25" s="4" t="s">
        <v>26</v>
      </c>
      <c r="K25" s="1">
        <v>6.25</v>
      </c>
    </row>
    <row r="26" spans="4:11" x14ac:dyDescent="0.25">
      <c r="D26" s="4" t="s">
        <v>27</v>
      </c>
      <c r="E26" s="6">
        <v>16</v>
      </c>
      <c r="G26" s="4" t="s">
        <v>27</v>
      </c>
      <c r="H26" s="1">
        <v>34.0625</v>
      </c>
      <c r="J26" s="4" t="s">
        <v>27</v>
      </c>
      <c r="K26" s="1">
        <v>6.333333333333333</v>
      </c>
    </row>
    <row r="27" spans="4:11" x14ac:dyDescent="0.25">
      <c r="D27" s="4" t="s">
        <v>28</v>
      </c>
      <c r="E27" s="6">
        <v>15</v>
      </c>
      <c r="G27" s="4" t="s">
        <v>28</v>
      </c>
      <c r="H27" s="1">
        <v>25.2</v>
      </c>
      <c r="J27" s="4" t="s">
        <v>28</v>
      </c>
      <c r="K27" s="1">
        <v>7</v>
      </c>
    </row>
    <row r="28" spans="4:11" x14ac:dyDescent="0.25">
      <c r="D28" s="4" t="s">
        <v>29</v>
      </c>
      <c r="E28" s="6">
        <v>22</v>
      </c>
      <c r="G28" s="4" t="s">
        <v>29</v>
      </c>
      <c r="H28" s="1">
        <v>35.863636363636367</v>
      </c>
      <c r="J28" s="4" t="s">
        <v>29</v>
      </c>
      <c r="K28" s="1">
        <v>5.666666666666667</v>
      </c>
    </row>
    <row r="29" spans="4:11" x14ac:dyDescent="0.25">
      <c r="D29" s="4" t="s">
        <v>30</v>
      </c>
      <c r="E29" s="6">
        <v>18</v>
      </c>
      <c r="G29" s="4" t="s">
        <v>30</v>
      </c>
      <c r="H29" s="1">
        <v>39.833333333333336</v>
      </c>
      <c r="J29" s="4" t="s">
        <v>30</v>
      </c>
      <c r="K29" s="1">
        <v>3.3333333333333335</v>
      </c>
    </row>
    <row r="30" spans="4:11" x14ac:dyDescent="0.25">
      <c r="D30" s="4" t="s">
        <v>31</v>
      </c>
      <c r="E30" s="6">
        <v>10</v>
      </c>
      <c r="G30" s="4" t="s">
        <v>31</v>
      </c>
      <c r="H30" s="1">
        <v>37</v>
      </c>
      <c r="J30" s="4" t="s">
        <v>31</v>
      </c>
      <c r="K30" s="1">
        <v>4.75</v>
      </c>
    </row>
    <row r="31" spans="4:11" x14ac:dyDescent="0.25">
      <c r="D31" s="4" t="s">
        <v>32</v>
      </c>
      <c r="E31" s="6">
        <v>17</v>
      </c>
      <c r="G31" s="4" t="s">
        <v>32</v>
      </c>
      <c r="H31" s="1">
        <v>39.411764705882355</v>
      </c>
      <c r="J31" s="4" t="s">
        <v>32</v>
      </c>
      <c r="K31" s="1">
        <v>2</v>
      </c>
    </row>
    <row r="32" spans="4:11" x14ac:dyDescent="0.25">
      <c r="D32" s="4" t="s">
        <v>33</v>
      </c>
      <c r="E32" s="6">
        <v>17</v>
      </c>
      <c r="G32" s="4" t="s">
        <v>33</v>
      </c>
      <c r="H32" s="1">
        <v>30.294117647058822</v>
      </c>
      <c r="J32" s="4" t="s">
        <v>33</v>
      </c>
      <c r="K32" s="1">
        <v>9.25</v>
      </c>
    </row>
    <row r="33" spans="1:11" x14ac:dyDescent="0.25">
      <c r="D33" s="4" t="s">
        <v>34</v>
      </c>
      <c r="E33" s="6">
        <v>12</v>
      </c>
      <c r="G33" s="4" t="s">
        <v>34</v>
      </c>
      <c r="H33" s="1">
        <v>32.666666666666664</v>
      </c>
      <c r="J33" s="4" t="s">
        <v>34</v>
      </c>
      <c r="K33" s="1">
        <v>2.6666666666666665</v>
      </c>
    </row>
    <row r="34" spans="1:11" x14ac:dyDescent="0.25">
      <c r="D34" s="4" t="s">
        <v>35</v>
      </c>
      <c r="E34" s="6">
        <v>14</v>
      </c>
      <c r="G34" s="4" t="s">
        <v>35</v>
      </c>
      <c r="H34" s="1">
        <v>30.571428571428573</v>
      </c>
      <c r="J34" s="4" t="s">
        <v>35</v>
      </c>
      <c r="K34" s="1">
        <v>4</v>
      </c>
    </row>
    <row r="35" spans="1:11" x14ac:dyDescent="0.25">
      <c r="D35" s="4" t="s">
        <v>36</v>
      </c>
      <c r="E35" s="6">
        <v>18</v>
      </c>
      <c r="G35" s="4" t="s">
        <v>36</v>
      </c>
      <c r="H35" s="1">
        <v>39.055555555555557</v>
      </c>
      <c r="J35" s="4" t="s">
        <v>36</v>
      </c>
      <c r="K35" s="1">
        <v>8.75</v>
      </c>
    </row>
    <row r="36" spans="1:11" x14ac:dyDescent="0.25">
      <c r="D36" s="4" t="s">
        <v>4</v>
      </c>
      <c r="E36" s="6">
        <v>506</v>
      </c>
      <c r="G36" s="4" t="s">
        <v>4</v>
      </c>
      <c r="H36" s="1">
        <v>35.879446640316203</v>
      </c>
      <c r="J36" s="4" t="s">
        <v>4</v>
      </c>
      <c r="K36" s="1">
        <v>5.3277310924369745</v>
      </c>
    </row>
    <row r="44" spans="1:11" x14ac:dyDescent="0.25">
      <c r="A44" s="3" t="s">
        <v>5</v>
      </c>
      <c r="B44" t="s">
        <v>39</v>
      </c>
      <c r="C44" t="s">
        <v>42</v>
      </c>
      <c r="H44"/>
    </row>
    <row r="45" spans="1:11" x14ac:dyDescent="0.25">
      <c r="A45" s="4" t="s">
        <v>40</v>
      </c>
      <c r="B45" s="1">
        <v>253</v>
      </c>
      <c r="C45" s="7">
        <v>0.5</v>
      </c>
      <c r="H45"/>
    </row>
    <row r="46" spans="1:11" x14ac:dyDescent="0.25">
      <c r="A46" s="4" t="s">
        <v>41</v>
      </c>
      <c r="B46" s="1">
        <v>253</v>
      </c>
      <c r="C46" s="7">
        <v>0.5</v>
      </c>
      <c r="H46"/>
    </row>
    <row r="47" spans="1:11" x14ac:dyDescent="0.25">
      <c r="A47" s="4" t="s">
        <v>4</v>
      </c>
      <c r="B47" s="1">
        <v>506</v>
      </c>
      <c r="C47" s="7">
        <v>1</v>
      </c>
    </row>
    <row r="51" spans="1:5" ht="15.75" thickBot="1" x14ac:dyDescent="0.3"/>
    <row r="52" spans="1:5" x14ac:dyDescent="0.25">
      <c r="A52" s="8" t="s">
        <v>43</v>
      </c>
      <c r="B52" s="9" t="s">
        <v>44</v>
      </c>
      <c r="C52" s="9" t="s">
        <v>45</v>
      </c>
      <c r="D52" s="9"/>
      <c r="E52" s="10"/>
    </row>
    <row r="53" spans="1:5" x14ac:dyDescent="0.25">
      <c r="A53" s="11" t="str">
        <f>A45</f>
        <v>Addmited</v>
      </c>
      <c r="B53" s="12">
        <f t="shared" ref="B53:C53" si="0">B45</f>
        <v>253</v>
      </c>
      <c r="C53" s="13">
        <f t="shared" si="0"/>
        <v>0.5</v>
      </c>
      <c r="D53" s="12"/>
      <c r="E53" s="14"/>
    </row>
    <row r="54" spans="1:5" ht="15.75" thickBot="1" x14ac:dyDescent="0.3">
      <c r="A54" s="15" t="str">
        <f>A46</f>
        <v>Not Admited</v>
      </c>
      <c r="B54" s="16">
        <f t="shared" ref="B54:C54" si="1">B46</f>
        <v>253</v>
      </c>
      <c r="C54" s="17">
        <f t="shared" si="1"/>
        <v>0.5</v>
      </c>
      <c r="D54" s="16"/>
      <c r="E54" s="18"/>
    </row>
    <row r="56" spans="1:5" x14ac:dyDescent="0.25">
      <c r="A56" t="s">
        <v>55</v>
      </c>
    </row>
    <row r="57" spans="1:5" x14ac:dyDescent="0.25">
      <c r="A57" s="3" t="s">
        <v>5</v>
      </c>
      <c r="B57" t="s">
        <v>54</v>
      </c>
    </row>
    <row r="58" spans="1:5" x14ac:dyDescent="0.25">
      <c r="A58" s="4" t="s">
        <v>46</v>
      </c>
      <c r="B58" s="19">
        <v>64</v>
      </c>
    </row>
    <row r="59" spans="1:5" x14ac:dyDescent="0.25">
      <c r="A59" s="4" t="s">
        <v>47</v>
      </c>
      <c r="B59" s="19">
        <v>66</v>
      </c>
    </row>
    <row r="60" spans="1:5" x14ac:dyDescent="0.25">
      <c r="A60" s="4" t="s">
        <v>48</v>
      </c>
      <c r="B60" s="19">
        <v>65</v>
      </c>
    </row>
    <row r="61" spans="1:5" x14ac:dyDescent="0.25">
      <c r="A61" s="4" t="s">
        <v>49</v>
      </c>
      <c r="B61" s="19">
        <v>73</v>
      </c>
    </row>
    <row r="62" spans="1:5" x14ac:dyDescent="0.25">
      <c r="A62" s="4" t="s">
        <v>50</v>
      </c>
      <c r="B62" s="19">
        <v>45</v>
      </c>
    </row>
    <row r="63" spans="1:5" x14ac:dyDescent="0.25">
      <c r="A63" s="4" t="s">
        <v>51</v>
      </c>
      <c r="B63" s="19">
        <v>72</v>
      </c>
    </row>
    <row r="64" spans="1:5" x14ac:dyDescent="0.25">
      <c r="A64" s="4" t="s">
        <v>52</v>
      </c>
      <c r="B64" s="19">
        <v>74</v>
      </c>
    </row>
    <row r="65" spans="1:2" x14ac:dyDescent="0.25">
      <c r="A65" s="4" t="s">
        <v>53</v>
      </c>
      <c r="B65" s="19">
        <v>47</v>
      </c>
    </row>
    <row r="66" spans="1:2" x14ac:dyDescent="0.25">
      <c r="A66" s="4" t="s">
        <v>4</v>
      </c>
      <c r="B66" s="19">
        <v>506</v>
      </c>
    </row>
    <row r="70" spans="1:2" x14ac:dyDescent="0.25">
      <c r="A70" s="3" t="s">
        <v>5</v>
      </c>
      <c r="B70" t="s">
        <v>58</v>
      </c>
    </row>
    <row r="71" spans="1:2" x14ac:dyDescent="0.25">
      <c r="A71" s="4" t="s">
        <v>56</v>
      </c>
      <c r="B71" s="19">
        <v>312</v>
      </c>
    </row>
    <row r="72" spans="1:2" x14ac:dyDescent="0.25">
      <c r="A72" s="4" t="s">
        <v>57</v>
      </c>
      <c r="B72" s="19">
        <v>194</v>
      </c>
    </row>
    <row r="73" spans="1:2" x14ac:dyDescent="0.25">
      <c r="A73" s="4" t="s">
        <v>4</v>
      </c>
      <c r="B73" s="19">
        <v>506</v>
      </c>
    </row>
    <row r="75" spans="1:2" x14ac:dyDescent="0.25">
      <c r="A75" s="4" t="s">
        <v>62</v>
      </c>
    </row>
    <row r="76" spans="1:2" x14ac:dyDescent="0.25">
      <c r="A76" s="3" t="s">
        <v>5</v>
      </c>
      <c r="B76" t="s">
        <v>59</v>
      </c>
    </row>
    <row r="77" spans="1:2" x14ac:dyDescent="0.25">
      <c r="A77" s="4" t="s">
        <v>60</v>
      </c>
      <c r="B77" s="19">
        <v>231</v>
      </c>
    </row>
    <row r="78" spans="1:2" x14ac:dyDescent="0.25">
      <c r="A78" s="4" t="s">
        <v>61</v>
      </c>
      <c r="B78" s="19">
        <v>275</v>
      </c>
    </row>
    <row r="79" spans="1:2" x14ac:dyDescent="0.25">
      <c r="A79" s="4" t="s">
        <v>4</v>
      </c>
      <c r="B79" s="19">
        <v>506</v>
      </c>
    </row>
    <row r="82" spans="1:2" x14ac:dyDescent="0.25">
      <c r="A82" s="3" t="s">
        <v>5</v>
      </c>
      <c r="B82" t="s">
        <v>63</v>
      </c>
    </row>
    <row r="83" spans="1:2" x14ac:dyDescent="0.25">
      <c r="A83" s="4" t="s">
        <v>71</v>
      </c>
      <c r="B83" s="19">
        <v>3</v>
      </c>
    </row>
    <row r="84" spans="1:2" x14ac:dyDescent="0.25">
      <c r="A84" s="4" t="s">
        <v>67</v>
      </c>
      <c r="B84" s="19">
        <v>5</v>
      </c>
    </row>
    <row r="85" spans="1:2" x14ac:dyDescent="0.25">
      <c r="A85" s="4" t="s">
        <v>65</v>
      </c>
      <c r="B85" s="19">
        <v>6</v>
      </c>
    </row>
    <row r="86" spans="1:2" x14ac:dyDescent="0.25">
      <c r="A86" s="4" t="s">
        <v>70</v>
      </c>
      <c r="B86" s="19">
        <v>14</v>
      </c>
    </row>
    <row r="87" spans="1:2" x14ac:dyDescent="0.25">
      <c r="A87" s="4" t="s">
        <v>64</v>
      </c>
      <c r="B87" s="19">
        <v>15</v>
      </c>
    </row>
    <row r="88" spans="1:2" x14ac:dyDescent="0.25">
      <c r="A88" s="4" t="s">
        <v>69</v>
      </c>
      <c r="B88" s="19">
        <v>59</v>
      </c>
    </row>
    <row r="89" spans="1:2" x14ac:dyDescent="0.25">
      <c r="A89" s="4" t="s">
        <v>66</v>
      </c>
      <c r="B89" s="19">
        <v>93</v>
      </c>
    </row>
    <row r="90" spans="1:2" x14ac:dyDescent="0.25">
      <c r="A90" s="4" t="s">
        <v>68</v>
      </c>
      <c r="B90" s="19">
        <v>311</v>
      </c>
    </row>
    <row r="91" spans="1:2" x14ac:dyDescent="0.25">
      <c r="A91" s="4" t="s">
        <v>4</v>
      </c>
      <c r="B91" s="19">
        <v>506</v>
      </c>
    </row>
    <row r="94" spans="1:2" x14ac:dyDescent="0.25">
      <c r="A94" s="3" t="s">
        <v>5</v>
      </c>
      <c r="B94" t="s">
        <v>72</v>
      </c>
    </row>
    <row r="95" spans="1:2" x14ac:dyDescent="0.25">
      <c r="A95" s="4" t="s">
        <v>73</v>
      </c>
      <c r="B95" s="19">
        <v>31</v>
      </c>
    </row>
    <row r="96" spans="1:2" x14ac:dyDescent="0.25">
      <c r="A96" s="4" t="s">
        <v>4</v>
      </c>
      <c r="B96" s="19">
        <v>31</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C8D7B-EB20-4E67-823D-5279FDCE7498}">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3A85-82E6-428F-AEB3-2D16E3D6B20D}">
  <dimension ref="A1"/>
  <sheetViews>
    <sheetView tabSelected="1" workbookViewId="0">
      <selection activeCell="T23" sqref="T23"/>
    </sheetView>
  </sheetViews>
  <sheetFormatPr defaultRowHeight="15" x14ac:dyDescent="0.25"/>
  <cols>
    <col min="1" max="16384" width="9.14062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D8E0D-0FF2-4D9E-8766-F78245F57A27}">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13FC-F099-415C-B1B9-93894A5928FC}">
  <dimension ref="A1"/>
  <sheetViews>
    <sheetView workbookViewId="0">
      <selection activeCell="R9" sqref="R9"/>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644A-C075-47F6-AD65-B62E35DFEA0B}">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19348-AC09-48C9-9878-42CAE8B380CC}">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77C0DB6-789A-4D54-B4A0-B395CC7A2214}">
  <ds:schemaRefs/>
</ds:datastoreItem>
</file>

<file path=customXml/itemProps2.xml><?xml version="1.0" encoding="utf-8"?>
<ds:datastoreItem xmlns:ds="http://schemas.openxmlformats.org/officeDocument/2006/customXml" ds:itemID="{A155928B-50D3-4168-89C6-AC4D438B2BD4}">
  <ds:schemaRefs/>
</ds:datastoreItem>
</file>

<file path=customXml/itemProps3.xml><?xml version="1.0" encoding="utf-8"?>
<ds:datastoreItem xmlns:ds="http://schemas.openxmlformats.org/officeDocument/2006/customXml" ds:itemID="{ED853E1E-DB2E-4AAA-8A84-41EF8C2CCAB3}">
  <ds:schemaRefs/>
</ds:datastoreItem>
</file>

<file path=customXml/itemProps4.xml><?xml version="1.0" encoding="utf-8"?>
<ds:datastoreItem xmlns:ds="http://schemas.openxmlformats.org/officeDocument/2006/customXml" ds:itemID="{5EFC386F-DABD-46AF-8A03-A88693406E43}">
  <ds:schemaRefs/>
</ds:datastoreItem>
</file>

<file path=customXml/itemProps5.xml><?xml version="1.0" encoding="utf-8"?>
<ds:datastoreItem xmlns:ds="http://schemas.openxmlformats.org/officeDocument/2006/customXml" ds:itemID="{74DC1FF2-241E-4394-A6FC-E99AC8D70BAE}">
  <ds:schemaRefs/>
</ds:datastoreItem>
</file>

<file path=customXml/itemProps6.xml><?xml version="1.0" encoding="utf-8"?>
<ds:datastoreItem xmlns:ds="http://schemas.openxmlformats.org/officeDocument/2006/customXml" ds:itemID="{BAF57BC2-5690-4F04-89C2-1D38182EC1E0}">
  <ds:schemaRefs/>
</ds:datastoreItem>
</file>

<file path=customXml/itemProps7.xml><?xml version="1.0" encoding="utf-8"?>
<ds:datastoreItem xmlns:ds="http://schemas.openxmlformats.org/officeDocument/2006/customXml" ds:itemID="{C95E17A2-0ECA-446D-8F8E-E57FBF7D3FA0}">
  <ds:schemaRefs/>
</ds:datastoreItem>
</file>

<file path=customXml/itemProps8.xml><?xml version="1.0" encoding="utf-8"?>
<ds:datastoreItem xmlns:ds="http://schemas.openxmlformats.org/officeDocument/2006/customXml" ds:itemID="{AB44B6CC-A3B0-4CFA-9F3C-1A07DD8F8248}">
  <ds:schemaRefs/>
</ds:datastoreItem>
</file>

<file path=customXml/itemProps9.xml><?xml version="1.0" encoding="utf-8"?>
<ds:datastoreItem xmlns:ds="http://schemas.openxmlformats.org/officeDocument/2006/customXml" ds:itemID="{2DD56EC3-A052-431B-9F6C-D1A132DB09DF}">
  <ds:schemaRefs/>
</ds:datastoreItem>
</file>

<file path=customXml/itemProps10.xml><?xml version="1.0" encoding="utf-8"?>
<ds:datastoreItem xmlns:ds="http://schemas.openxmlformats.org/officeDocument/2006/customXml" ds:itemID="{9B12A424-28A0-4F64-A097-C330326CF0DC}">
  <ds:schemaRefs/>
</ds:datastoreItem>
</file>

<file path=customXml/itemProps11.xml><?xml version="1.0" encoding="utf-8"?>
<ds:datastoreItem xmlns:ds="http://schemas.openxmlformats.org/officeDocument/2006/customXml" ds:itemID="{9876F997-CF19-40F0-BD72-1DB347C391B1}">
  <ds:schemaRefs/>
</ds:datastoreItem>
</file>

<file path=customXml/itemProps12.xml><?xml version="1.0" encoding="utf-8"?>
<ds:datastoreItem xmlns:ds="http://schemas.openxmlformats.org/officeDocument/2006/customXml" ds:itemID="{93195662-50CF-438C-9036-2D4B0262D23C}">
  <ds:schemaRefs/>
</ds:datastoreItem>
</file>

<file path=customXml/itemProps13.xml><?xml version="1.0" encoding="utf-8"?>
<ds:datastoreItem xmlns:ds="http://schemas.openxmlformats.org/officeDocument/2006/customXml" ds:itemID="{45FD7903-5BD5-48B1-A610-96F63DF14894}">
  <ds:schemaRefs/>
</ds:datastoreItem>
</file>

<file path=customXml/itemProps14.xml><?xml version="1.0" encoding="utf-8"?>
<ds:datastoreItem xmlns:ds="http://schemas.openxmlformats.org/officeDocument/2006/customXml" ds:itemID="{397B9008-221C-4A53-B0E6-3C9C40D6E8BB}">
  <ds:schemaRefs>
    <ds:schemaRef ds:uri="http://schemas.microsoft.com/DataMashup"/>
  </ds:schemaRefs>
</ds:datastoreItem>
</file>

<file path=customXml/itemProps15.xml><?xml version="1.0" encoding="utf-8"?>
<ds:datastoreItem xmlns:ds="http://schemas.openxmlformats.org/officeDocument/2006/customXml" ds:itemID="{7E0B5C7B-D3D0-4B2D-8B18-A72B3DC3B83B}">
  <ds:schemaRefs/>
</ds:datastoreItem>
</file>

<file path=customXml/itemProps16.xml><?xml version="1.0" encoding="utf-8"?>
<ds:datastoreItem xmlns:ds="http://schemas.openxmlformats.org/officeDocument/2006/customXml" ds:itemID="{7CEEFA2C-0224-4862-B218-FD41E0C361F9}">
  <ds:schemaRefs/>
</ds:datastoreItem>
</file>

<file path=customXml/itemProps17.xml><?xml version="1.0" encoding="utf-8"?>
<ds:datastoreItem xmlns:ds="http://schemas.openxmlformats.org/officeDocument/2006/customXml" ds:itemID="{72168B5A-A669-429D-940E-5F1F3455CB9A}">
  <ds:schemaRefs/>
</ds:datastoreItem>
</file>

<file path=customXml/itemProps18.xml><?xml version="1.0" encoding="utf-8"?>
<ds:datastoreItem xmlns:ds="http://schemas.openxmlformats.org/officeDocument/2006/customXml" ds:itemID="{2C454778-48DA-4CA0-89EE-FB7B1E5D69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Pivote Report</vt:lpstr>
      <vt:lpstr>Sheet2</vt:lpstr>
      <vt:lpstr>Dashboard</vt:lpstr>
      <vt:lpstr>daily ER room petients</vt:lpstr>
      <vt:lpstr>average wait time daily</vt:lpstr>
      <vt:lpstr>satisfication score daily trend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2025-12-26T08:26:04Z</dcterms:created>
  <dcterms:modified xsi:type="dcterms:W3CDTF">2025-12-27T11:12:14Z</dcterms:modified>
</cp:coreProperties>
</file>